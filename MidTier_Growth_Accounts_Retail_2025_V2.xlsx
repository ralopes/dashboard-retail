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alopes\Dashboard Pirâmide\"/>
    </mc:Choice>
  </mc:AlternateContent>
  <xr:revisionPtr revIDLastSave="0" documentId="13_ncr:1_{2196DB8E-498F-41B8-8727-DC38C3EA70C8}" xr6:coauthVersionLast="47" xr6:coauthVersionMax="47" xr10:uidLastSave="{00000000-0000-0000-0000-000000000000}"/>
  <bookViews>
    <workbookView xWindow="-28920" yWindow="855" windowWidth="29040" windowHeight="15720" tabRatio="500" activeTab="5" xr2:uid="{00000000-000D-0000-FFFF-FFFF00000000}"/>
  </bookViews>
  <sheets>
    <sheet name="📊 Dashboard" sheetId="1" r:id="rId1"/>
    <sheet name="📋 Carteira" sheetId="2" r:id="rId2"/>
    <sheet name="🎯 Plano de Ação" sheetId="3" r:id="rId3"/>
    <sheet name="📈 Gráficos" sheetId="4" r:id="rId4"/>
    <sheet name="📅 Tracker Mensal" sheetId="5" r:id="rId5"/>
    <sheet name="🗄️ Base de Dad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4" i="5" l="1"/>
  <c r="L24" i="5"/>
  <c r="K24" i="5"/>
  <c r="J24" i="5"/>
  <c r="I24" i="5"/>
  <c r="H24" i="5"/>
  <c r="G24" i="5"/>
  <c r="F24" i="5"/>
  <c r="E24" i="5"/>
  <c r="D24" i="5"/>
  <c r="B24" i="5"/>
  <c r="N23" i="5"/>
  <c r="C23" i="5"/>
  <c r="N22" i="5"/>
  <c r="C22" i="5"/>
  <c r="N21" i="5"/>
  <c r="C21" i="5"/>
  <c r="N20" i="5"/>
  <c r="C20" i="5"/>
  <c r="N19" i="5"/>
  <c r="C19" i="5"/>
  <c r="N18" i="5"/>
  <c r="C18" i="5"/>
  <c r="N17" i="5"/>
  <c r="C17" i="5"/>
  <c r="N16" i="5"/>
  <c r="C16" i="5"/>
  <c r="N15" i="5"/>
  <c r="C15" i="5"/>
  <c r="N14" i="5"/>
  <c r="C14" i="5"/>
  <c r="N13" i="5"/>
  <c r="C13" i="5"/>
  <c r="N12" i="5"/>
  <c r="C12" i="5"/>
  <c r="N11" i="5"/>
  <c r="C11" i="5"/>
  <c r="N10" i="5"/>
  <c r="C10" i="5"/>
  <c r="N9" i="5"/>
  <c r="C9" i="5"/>
  <c r="C24" i="5" s="1"/>
  <c r="N8" i="5"/>
  <c r="C8" i="5"/>
  <c r="N7" i="5"/>
  <c r="C7" i="5"/>
  <c r="N6" i="5"/>
  <c r="C6" i="5"/>
  <c r="N5" i="5"/>
  <c r="C5" i="5"/>
  <c r="N4" i="5"/>
  <c r="N24" i="5" s="1"/>
  <c r="C4" i="5"/>
  <c r="D23" i="2"/>
  <c r="E23" i="2" s="1"/>
  <c r="C23" i="2"/>
  <c r="O21" i="2"/>
  <c r="N21" i="2"/>
  <c r="O20" i="2"/>
  <c r="N20" i="2"/>
  <c r="O19" i="2"/>
  <c r="N19" i="2"/>
  <c r="O18" i="2"/>
  <c r="N18" i="2"/>
  <c r="O17" i="2"/>
  <c r="N17" i="2"/>
  <c r="O16" i="2"/>
  <c r="N16" i="2"/>
  <c r="O15" i="2"/>
  <c r="N15" i="2"/>
  <c r="O14" i="2"/>
  <c r="N14" i="2"/>
  <c r="O13" i="2"/>
  <c r="N13" i="2"/>
  <c r="O12" i="2"/>
  <c r="N12" i="2"/>
  <c r="O11" i="2"/>
  <c r="N11" i="2"/>
  <c r="O10" i="2"/>
  <c r="N10" i="2"/>
  <c r="O9" i="2"/>
  <c r="N9" i="2"/>
  <c r="O8" i="2"/>
  <c r="N8" i="2"/>
  <c r="O7" i="2"/>
  <c r="N7" i="2"/>
  <c r="O6" i="2"/>
  <c r="N6" i="2"/>
  <c r="O5" i="2"/>
  <c r="N5" i="2"/>
  <c r="O4" i="2"/>
  <c r="N4" i="2"/>
  <c r="O3" i="2"/>
  <c r="N3" i="2"/>
  <c r="A5" i="1"/>
</calcChain>
</file>

<file path=xl/sharedStrings.xml><?xml version="1.0" encoding="utf-8"?>
<sst xmlns="http://schemas.openxmlformats.org/spreadsheetml/2006/main" count="978" uniqueCount="373">
  <si>
    <t>BASE DE DADOS COMPLETA  |  RETAIL — CARTEIRA TOTAL  |  Fonte: Extração Q Atual vs LQTD</t>
  </si>
  <si>
    <t>Total de contas: 91  |  Topo: 30 contas  |  Mid-Tier (foco): 30 contas  |  Base: 31 contas  |  Atualizar mensalmente com nova extração</t>
  </si>
  <si>
    <t>CARTEIRA TOTAL</t>
  </si>
  <si>
    <t>TOPO (30 contas)</t>
  </si>
  <si>
    <t>MID-TIER FOCO (20 contas)</t>
  </si>
  <si>
    <t>BASE (31 contas)</t>
  </si>
  <si>
    <t>Receita Total</t>
  </si>
  <si>
    <t>GP Total</t>
  </si>
  <si>
    <t>Margem Média</t>
  </si>
  <si>
    <t>#</t>
  </si>
  <si>
    <t>Conta</t>
  </si>
  <si>
    <t>Account Owner</t>
  </si>
  <si>
    <t>Tier / Bloco</t>
  </si>
  <si>
    <t>No Foco
2025</t>
  </si>
  <si>
    <t>Interações
(Ch. → Client)</t>
  </si>
  <si>
    <t>Receita
(USD)</t>
  </si>
  <si>
    <t>Gross Profit
(USD)</t>
  </si>
  <si>
    <t>Margem %</t>
  </si>
  <si>
    <t>Var. Interações
vs LQTD</t>
  </si>
  <si>
    <t>Var. Receita
vs LQTD</t>
  </si>
  <si>
    <t>Var. GP
vs LQTD</t>
  </si>
  <si>
    <t>Receita %
do Total</t>
  </si>
  <si>
    <t>GP %
do Total</t>
  </si>
  <si>
    <t>Ranking
(por Receita)</t>
  </si>
  <si>
    <t>Observação</t>
  </si>
  <si>
    <t>VERO Internet - Cagliari</t>
  </si>
  <si>
    <t>🔝 Topo</t>
  </si>
  <si>
    <t>Conta de alto volume — gestão pelo time de key accounts</t>
  </si>
  <si>
    <t>Mercafacil</t>
  </si>
  <si>
    <t>Ambev Ab-Inbev</t>
  </si>
  <si>
    <t>ENEL Eletropaulo</t>
  </si>
  <si>
    <t>Whirlpool do Brasil</t>
  </si>
  <si>
    <t>N/D</t>
  </si>
  <si>
    <t>LIGO SAGO</t>
  </si>
  <si>
    <t>Brisanet</t>
  </si>
  <si>
    <t>Medcof Educacao S.A</t>
  </si>
  <si>
    <t>MadeiraMadeira</t>
  </si>
  <si>
    <t>CEMIG</t>
  </si>
  <si>
    <t>Grupo Alloha</t>
  </si>
  <si>
    <t>Motorola</t>
  </si>
  <si>
    <t>Danone Brasil</t>
  </si>
  <si>
    <t>Webmotors</t>
  </si>
  <si>
    <t>PUC RS</t>
  </si>
  <si>
    <t>Samsung Electronics Brazil</t>
  </si>
  <si>
    <t>Qualicorp</t>
  </si>
  <si>
    <t>Grupo Avenida</t>
  </si>
  <si>
    <t>Grupo Moura</t>
  </si>
  <si>
    <t>BRF Brazil</t>
  </si>
  <si>
    <t>Groupe Renault</t>
  </si>
  <si>
    <t>Neoenergia Comercializacao</t>
  </si>
  <si>
    <t>Assai Atacadista</t>
  </si>
  <si>
    <t>Grupo DPSP</t>
  </si>
  <si>
    <t>Thyssenkrupp Elevadores</t>
  </si>
  <si>
    <t>Youtility do Brasil</t>
  </si>
  <si>
    <t>WINE</t>
  </si>
  <si>
    <t>Copel Distribuicao SA</t>
  </si>
  <si>
    <t>Dotz</t>
  </si>
  <si>
    <t>123 Milhas</t>
  </si>
  <si>
    <t>CVC</t>
  </si>
  <si>
    <t>🎯 Mid-Tier</t>
  </si>
  <si>
    <t>Conta no bloco de foco — crescimento prioritário 2025</t>
  </si>
  <si>
    <t>Wiser</t>
  </si>
  <si>
    <t>✅ Sim</t>
  </si>
  <si>
    <t>⭐ CONTA PRIORITÁRIA — incluída no Mid-Tier Growth Plan 2025</t>
  </si>
  <si>
    <t>Azul Linhas Aereas</t>
  </si>
  <si>
    <t>Hospital Oswaldo Cruz</t>
  </si>
  <si>
    <t>McDonalds Brazil</t>
  </si>
  <si>
    <t>Outback Brazil</t>
  </si>
  <si>
    <t>Pernod Ricard</t>
  </si>
  <si>
    <t>COMM</t>
  </si>
  <si>
    <t>MaxMilhas</t>
  </si>
  <si>
    <t>Positivo Tecnologia</t>
  </si>
  <si>
    <t>Ecohouse</t>
  </si>
  <si>
    <t>Unifique Telecomunicacoes S.A.</t>
  </si>
  <si>
    <t>Burger King Brasil</t>
  </si>
  <si>
    <t>Grupo Arezzo</t>
  </si>
  <si>
    <t>Cia Hering</t>
  </si>
  <si>
    <t>CPFL</t>
  </si>
  <si>
    <t>Cacau Show</t>
  </si>
  <si>
    <t>Edenred Brazil - Freto</t>
  </si>
  <si>
    <t>Boticario Brazil</t>
  </si>
  <si>
    <t>Atlas Schindler</t>
  </si>
  <si>
    <t>Sumicity</t>
  </si>
  <si>
    <t>Rede dor</t>
  </si>
  <si>
    <t>Grupo Zelo</t>
  </si>
  <si>
    <t>Via Varejo</t>
  </si>
  <si>
    <t>BEES</t>
  </si>
  <si>
    <t>IBM Brasil</t>
  </si>
  <si>
    <t>GOL LINHAS AEREAS</t>
  </si>
  <si>
    <t>LARCO BRAZIL</t>
  </si>
  <si>
    <t>Grupo Martins</t>
  </si>
  <si>
    <t>Banco Honda S.A</t>
  </si>
  <si>
    <t>Chopp Brahma</t>
  </si>
  <si>
    <t>📉 Base</t>
  </si>
  <si>
    <t>Conta de baixo volume — monitoramento passivo</t>
  </si>
  <si>
    <t>Grupo Profarma - Rede D1000</t>
  </si>
  <si>
    <t>COPEL SERVICOS SA</t>
  </si>
  <si>
    <t>Coelba</t>
  </si>
  <si>
    <t>AEGEA Saneamento</t>
  </si>
  <si>
    <t>Elektro</t>
  </si>
  <si>
    <t>AMPM</t>
  </si>
  <si>
    <t>Eurofarma</t>
  </si>
  <si>
    <t>Neoenergia Brasilia</t>
  </si>
  <si>
    <t>Ajinomoto Brasil</t>
  </si>
  <si>
    <t>CELPE</t>
  </si>
  <si>
    <t>Administradora de Consorcio Nacional Honda</t>
  </si>
  <si>
    <t>Lenovo Brazil</t>
  </si>
  <si>
    <t>Hotmilhas</t>
  </si>
  <si>
    <t>Acumuladores Moura S A Grupo Moura</t>
  </si>
  <si>
    <t>COSERN</t>
  </si>
  <si>
    <t>Neos Previdencia Complementar</t>
  </si>
  <si>
    <t>Giraffas</t>
  </si>
  <si>
    <t>Supermercados Lopes</t>
  </si>
  <si>
    <t>Granado</t>
  </si>
  <si>
    <t>TELEFONICA INFRAESTRUTURA E SEGURANCA</t>
  </si>
  <si>
    <t>Abbraccio</t>
  </si>
  <si>
    <t>DATAPREV</t>
  </si>
  <si>
    <t>Vale S.A.</t>
  </si>
  <si>
    <t>Neoenergia Renovaveis</t>
  </si>
  <si>
    <t>COMPANHIA PARANAENSE DE ENERGIA - COPEL</t>
  </si>
  <si>
    <t>TikTok Bytedance Brazil</t>
  </si>
  <si>
    <t>CONNECTA TELECOM INTERNET LTDA</t>
  </si>
  <si>
    <t>IGreen Energy</t>
  </si>
  <si>
    <t>TOTAL CARTEIRA</t>
  </si>
  <si>
    <t>LEGENDA E INSTRUÇÕES DE ATUALIZAÇÃO</t>
  </si>
  <si>
    <t>30 contas de maior receita da carteira. Geridas pelo time de Key Accounts.</t>
  </si>
  <si>
    <t>30 contas do bloco intermediário. 20 delas estão no foco de crescimento 2025.</t>
  </si>
  <si>
    <t>31 contas de menor volume. Monitoramento passivo — sem investimento ativo de CS.</t>
  </si>
  <si>
    <t>✅ No Foco 2025</t>
  </si>
  <si>
    <t>20 contas selecionadas para o Mid-Tier Growth Plan. Ver aba 📋 Carteira para detalhes.</t>
  </si>
  <si>
    <t>🔄 Atualização</t>
  </si>
  <si>
    <t>Substituir esta aba mensalmente com nova extração do sistema. Manter mesma estrutura de colunas.</t>
  </si>
  <si>
    <t>Dado não disponível na extração — conta nova ou sem histórico comparativo no período.</t>
  </si>
  <si>
    <t>INFOBIP  |  MID-TIER GROWTH ACCOUNTS — RETAIL 2025  |  GESTÃO OPERACIONAL 2025</t>
  </si>
  <si>
    <t>Bloco de foco: 20 contas prioritárias para crescimento ao longo de 2025</t>
  </si>
  <si>
    <t>Contas no Foco</t>
  </si>
  <si>
    <t>SEGMENTAÇÃO POR CATEGORIA DE AÇÃO</t>
  </si>
  <si>
    <t>Categoria</t>
  </si>
  <si>
    <t>Qtd Contas</t>
  </si>
  <si>
    <t>Ação Prioritária</t>
  </si>
  <si>
    <t>Prazo</t>
  </si>
  <si>
    <t>🚀 Acelerar</t>
  </si>
  <si>
    <t>$15,680</t>
  </si>
  <si>
    <t>$18,753</t>
  </si>
  <si>
    <t>97.5%</t>
  </si>
  <si>
    <t>Expandir canais e volume</t>
  </si>
  <si>
    <t>Imediato</t>
  </si>
  <si>
    <t>📈 Manter Momentum</t>
  </si>
  <si>
    <t>$53,580</t>
  </si>
  <si>
    <t>$34,290</t>
  </si>
  <si>
    <t>64.0%</t>
  </si>
  <si>
    <t>QBR + oferta de expansão proativa</t>
  </si>
  <si>
    <t>30 dias</t>
  </si>
  <si>
    <t>🎯 Recuperação Fácil</t>
  </si>
  <si>
    <t>$65,809</t>
  </si>
  <si>
    <t>$60,539</t>
  </si>
  <si>
    <t>84.2%</t>
  </si>
  <si>
    <t>Call proativo + revisão de uso</t>
  </si>
  <si>
    <t>⚠️ Recuperar</t>
  </si>
  <si>
    <t>$39,056</t>
  </si>
  <si>
    <t>$29,897</t>
  </si>
  <si>
    <t>76.5%</t>
  </si>
  <si>
    <t>Diagnóstico de causa + plano de ação</t>
  </si>
  <si>
    <t>45 dias</t>
  </si>
  <si>
    <t>🚨 Intervenção Urgente</t>
  </si>
  <si>
    <t>$20,526</t>
  </si>
  <si>
    <t>$19,047</t>
  </si>
  <si>
    <t>92.8%</t>
  </si>
  <si>
    <t>Escalada comercial imediata</t>
  </si>
  <si>
    <t>7 dias</t>
  </si>
  <si>
    <t>🔍 Novos — Ativar</t>
  </si>
  <si>
    <t>$11,583</t>
  </si>
  <si>
    <t>$5,511</t>
  </si>
  <si>
    <t>47.6%</t>
  </si>
  <si>
    <t>Onboarding + mapeamento de uso</t>
  </si>
  <si>
    <t>60 dias</t>
  </si>
  <si>
    <t>TOP 5 CONTAS — MAIOR RECEITA NO BLOCO</t>
  </si>
  <si>
    <t>Receita (USD)</t>
  </si>
  <si>
    <t>GP (USD)</t>
  </si>
  <si>
    <t>Margem</t>
  </si>
  <si>
    <t>Tendência</t>
  </si>
  <si>
    <t>Status</t>
  </si>
  <si>
    <t>🎯 Recuperar</t>
  </si>
  <si>
    <t>🚨 Urgente</t>
  </si>
  <si>
    <t>5 INSIGHTS CRÍTICOS DO BLOCO</t>
  </si>
  <si>
    <t>VISÃO GERAL DA CARTEIRA — COMPARATIVO POR TIER (fonte: Base de Dados)</t>
  </si>
  <si>
    <t>Tier</t>
  </si>
  <si>
    <t>Contas</t>
  </si>
  <si>
    <t>🎯 Mid-Tier (Foco)</t>
  </si>
  <si>
    <t>📌  NAVEGAÇÃO RÁPIDA:  📋 Carteira  →  operacional conta a conta  |  🎯 Plano de Ação  →  iniciativas priorizadas  |  📈 Gráficos  →  visualizações  |  📅 Tracker  →  metas mensais  |  🗄️ Base de Dados  →  extração completa</t>
  </si>
  <si>
    <t>MID-TIER GROWTH ACCOUNTS — RETAIL 2025  |  20 CONTAS PRIORITÁRIAS 2025</t>
  </si>
  <si>
    <t>Trend Receita
vs LQTD</t>
  </si>
  <si>
    <t>Status Baseline</t>
  </si>
  <si>
    <t>Variação GP
vs LQTD</t>
  </si>
  <si>
    <t>Categoria de Ação</t>
  </si>
  <si>
    <t>Ação Recomendada</t>
  </si>
  <si>
    <t>CSM Responsável</t>
  </si>
  <si>
    <t>Próximo Contato</t>
  </si>
  <si>
    <t>Meta Receita
Q2 (USD)</t>
  </si>
  <si>
    <t>Meta GP
Q2 (USD)</t>
  </si>
  <si>
    <t>Prioridade</t>
  </si>
  <si>
    <t>Setor</t>
  </si>
  <si>
    <t>Observações</t>
  </si>
  <si>
    <t>Em queda</t>
  </si>
  <si>
    <t>Diagnóstico de causa + reunião de alinhamento de uso</t>
  </si>
  <si>
    <t>A definir</t>
  </si>
  <si>
    <t>A agendar</t>
  </si>
  <si>
    <t>P2 — Alto</t>
  </si>
  <si>
    <t>Tecnologia / SaaS</t>
  </si>
  <si>
    <t>Maior receita do bloco. Queda relevante — investigar mudança de interlocutor ou competitor.</t>
  </si>
  <si>
    <t>Crescendo</t>
  </si>
  <si>
    <t>QBR trimestral + proposta de expansão de canal</t>
  </si>
  <si>
    <t>Aviação</t>
  </si>
  <si>
    <t>GP caindo mesmo com receita crescendo — revisar estrutura de custo do produto em uso.</t>
  </si>
  <si>
    <t>Call proativo + revisão de campanhas ativas</t>
  </si>
  <si>
    <t>P3 — Médio</t>
  </si>
  <si>
    <t>Saúde</t>
  </si>
  <si>
    <t>Queda leve. Alta margem. Alta probabilidade de recuperação com ação simples.</t>
  </si>
  <si>
    <t>Escalada comercial imediata — reunião C-level em até 7 dias</t>
  </si>
  <si>
    <t>P1 — Crítico</t>
  </si>
  <si>
    <t>Food &amp; Beverage</t>
  </si>
  <si>
    <t>ALERTA: queda de 79.5% com maior margem do bloco (93%). Investigar perda de campanha.</t>
  </si>
  <si>
    <t>Ampliar volume de envios e mapear novos casos de uso</t>
  </si>
  <si>
    <t>Crescimento positivo mas GP caindo — verificar mix de canais utilizados.</t>
  </si>
  <si>
    <t>Proposta de expansão — GP crescendo mesmo com receita flat</t>
  </si>
  <si>
    <t>Bebidas / FMCG</t>
  </si>
  <si>
    <t>GP subindo mesmo com receita quase flat. Bom sinal — conta melhorando qualidade.</t>
  </si>
  <si>
    <t>Ampliar volume + explorar novos canais (WhatsApp / Push)</t>
  </si>
  <si>
    <t>Viagens / Fidelidade</t>
  </si>
  <si>
    <t>Crescimento consistente. Margem baixa — upsell para canais de maior margem.</t>
  </si>
  <si>
    <t>Revisão de cases ativos + proposta de expansão de volume</t>
  </si>
  <si>
    <t>Tecnologia</t>
  </si>
  <si>
    <t>98% de margem com queda mínima (-1.9%). Potencial de recuperação fácil e rápida.</t>
  </si>
  <si>
    <t>Replicar playbook + expandir canais adicionais agora</t>
  </si>
  <si>
    <t>Energia / ESG</t>
  </si>
  <si>
    <t>Crescimento forte em receita e GP. Conta modelo — extrair insights para replicar.</t>
  </si>
  <si>
    <t>Revisão de campanhas + proposta de automação de comunicação</t>
  </si>
  <si>
    <t>Queda mínima (-2.6%). Setor F&amp;B com alto potencial de uso de WhatsApp e SMS.</t>
  </si>
  <si>
    <t>Novo / Sem dado</t>
  </si>
  <si>
    <t>🔍 Ativar — Novo Cliente</t>
  </si>
  <si>
    <t>Onboarding estruturado + definição de KPIs de sucesso</t>
  </si>
  <si>
    <t>Varejo / Moda</t>
  </si>
  <si>
    <t>Cliente novo entrante. Sem baseline comparativo. Foco em ativação e primeiro caso de uso.</t>
  </si>
  <si>
    <t>Call proativo — queda mínima, alta margem</t>
  </si>
  <si>
    <t>RH / Benefícios</t>
  </si>
  <si>
    <t>Margem de 93% com queda irrelevante (-1.9%). Fácil de recuperar com contato proativo.</t>
  </si>
  <si>
    <t>Aprofundar integração + proposta de novos canais imediatamente</t>
  </si>
  <si>
    <t>Beleza / Cosméticos</t>
  </si>
  <si>
    <t>CONTA MODELO: +179% receita com 100% margem. Entender driver e replicar no bloco.</t>
  </si>
  <si>
    <t>Reunião para diagnóstico — queda acentuada em conta de alta margem</t>
  </si>
  <si>
    <t>Elevadores / B2B</t>
  </si>
  <si>
    <t>90% de margem caindo -39%. Pode ser mudança de interlocutor ou redução de operação.</t>
  </si>
  <si>
    <t>Revisão de uso + proposta de expansão de casos de uso</t>
  </si>
  <si>
    <t>Telecom</t>
  </si>
  <si>
    <t>ISP regional. Queda moderada. Setor com alto volume natural — explorar mais canais.</t>
  </si>
  <si>
    <t>Contato proativo — queda insignificante, 100% margem</t>
  </si>
  <si>
    <t>100% de margem com queda de apenas 1%. Conta praticamente estável. Fácil de manter.</t>
  </si>
  <si>
    <t>Diagnóstico urgente — conta 100% margem caindo -33%</t>
  </si>
  <si>
    <t>Tecnologia / B2B</t>
  </si>
  <si>
    <t>100% margem caindo -33%. Alta probabilidade de redução de projeto ou mudança de interlocutor.</t>
  </si>
  <si>
    <t>Call proativo + proposta de uso para campanhas sazonais</t>
  </si>
  <si>
    <t>Queda moderada (-13%). Aviação tem sazonalidade — verificar se é estrutural ou sazonal.</t>
  </si>
  <si>
    <t>Revisão de campanhas ativas + expansão de volume</t>
  </si>
  <si>
    <t>Distribuição / B2B</t>
  </si>
  <si>
    <t>100% margem com queda de -17.8%. Conta pequena mas rentável — fácil de recuperar.</t>
  </si>
  <si>
    <t>Grupo Mateus</t>
  </si>
  <si>
    <t>Onboarding + mapeamento de casos de uso — cadastrar no CRM</t>
  </si>
  <si>
    <t>Varejo / Supermercados</t>
  </si>
  <si>
    <t>NOVO: não consta na extração atual. Validar cadastro no CRM/billing imediatamente.</t>
  </si>
  <si>
    <t>TOTAIS DO BLOCO</t>
  </si>
  <si>
    <t>PLANO DE AÇÃO PRIORIZADO  |  MID-TIER GROWTH ACCOUNTS — RETAIL 2025</t>
  </si>
  <si>
    <t>MATRIZ DE PRIORIDADES — IMPACTO × ESFORÇO</t>
  </si>
  <si>
    <t>Conta(s)</t>
  </si>
  <si>
    <t>Ação Específica</t>
  </si>
  <si>
    <t>Impacto Esperado</t>
  </si>
  <si>
    <t>Esforço</t>
  </si>
  <si>
    <t>KPI de Sucesso</t>
  </si>
  <si>
    <t>Responsável</t>
  </si>
  <si>
    <t>Notas / Dependências</t>
  </si>
  <si>
    <t>Impacto $</t>
  </si>
  <si>
    <t>% do Bloco</t>
  </si>
  <si>
    <t>P1 — 🚨 CRÍTICO</t>
  </si>
  <si>
    <t>Escalada comercial C-level em até 7 dias. Identificar motivo da queda de -79.5% e apresentar proposta de reativação com incentivo.</t>
  </si>
  <si>
    <t>Recuperar 50% do volume perdido = +$9.7k GP de 93% de margem</t>
  </si>
  <si>
    <t>Alto</t>
  </si>
  <si>
    <t>Receita ≥ $12k no próximo mês</t>
  </si>
  <si>
    <t>Gerente de Vendas Sênior</t>
  </si>
  <si>
    <t>🔴 Pendente</t>
  </si>
  <si>
    <t>Escalar para CRO se não houver resposta em 48h. Verificar se há contrato vigente.</t>
  </si>
  <si>
    <t>Boticário Brazil + Ecohouse</t>
  </si>
  <si>
    <t>Extrair e documentar drivers de crescimento dessas 2 contas. Replicar playbook para Cia Hering, Outback e MaxMilhas.</t>
  </si>
  <si>
    <t>Se 3 contas replicarem 50% do crescimento do Boticário = +$12k receita</t>
  </si>
  <si>
    <t>Médio</t>
  </si>
  <si>
    <t>3 contas com crescimento positivo no próximo Q</t>
  </si>
  <si>
    <t>CSM + AM</t>
  </si>
  <si>
    <t>Documentar: qual canal, qual caso de uso, qual frequência. Criar template replicável.</t>
  </si>
  <si>
    <t>P1 — ⚠️ CRÍTICO</t>
  </si>
  <si>
    <t>Wiser + IBM + Atlas Schindler</t>
  </si>
  <si>
    <t>Reunião de diagnóstico em até 2 semanas. Identificar causa raiz da queda. Apresentar plano de recuperação específico por conta.</t>
  </si>
  <si>
    <t>Recuperar 30% do volume = +$11.6k em receita combinada</t>
  </si>
  <si>
    <t>Queda estabilizada; crescimento no mês seguinte</t>
  </si>
  <si>
    <t>AM + CSM</t>
  </si>
  <si>
    <t>Risco de churn parcial. Mapear se há mudança de interlocutor ou de produto.</t>
  </si>
  <si>
    <t>P2 — 📈 ALTO</t>
  </si>
  <si>
    <t>Azul Linhas Aereas + MaxMilhas + Outback</t>
  </si>
  <si>
    <t>QBR estruturado + proposta de expansão de canais (WhatsApp / Email / Push). Garantir que momentum não seja perdido por falta de atenção.</t>
  </si>
  <si>
    <t>Crescimento adicional de 15-20% nas 3 contas = +$8k receita</t>
  </si>
  <si>
    <t>Crescimento MoM positivo por 2 meses consecutivos</t>
  </si>
  <si>
    <t>CSM</t>
  </si>
  <si>
    <t>🟡 Em andamento</t>
  </si>
  <si>
    <t>Azul: revisar estrutura de custo — GP caindo mesmo com receita subindo.</t>
  </si>
  <si>
    <t>P2 — 🎯 ALTO</t>
  </si>
  <si>
    <t>Hospital Oswaldo Cruz + Pernod + Positivo + Edenred + Rede Dor + GOL + LARCO + Sumicity + Burger King</t>
  </si>
  <si>
    <t>Call proativo para todas as 9 contas de recuperação fácil. Script padrão: revisão de uso + nova proposta. Meta: 1 reunião por conta em 30 dias.</t>
  </si>
  <si>
    <t>Recuperar 30% das 9 contas = +$13.5k receita incremental</t>
  </si>
  <si>
    <t>≥ 6 das 9 contas com receita positiva vs mês atual</t>
  </si>
  <si>
    <t>🟡 Pendente</t>
  </si>
  <si>
    <t>Criar campanha interna de contato proativo. Estas contas têm alta margem e baixa necessidade de esforço.</t>
  </si>
  <si>
    <t>P3 — 🔍 MÉDIO</t>
  </si>
  <si>
    <t>Cia Hering + Grupo Mateus</t>
  </si>
  <si>
    <t>Estruturar onboarding: (1) definir caso de uso inicial, (2) configurar integração, (3) meta de receita para 60/90/120 dias, (4) QBR de 30 dias.</t>
  </si>
  <si>
    <t>Ativar 2 contas novas com receita &gt;$5k cada em até 90 dias</t>
  </si>
  <si>
    <t>Baixo</t>
  </si>
  <si>
    <t>Primeira receita registrada em até 45 dias</t>
  </si>
  <si>
    <t>CSM Onboarding</t>
  </si>
  <si>
    <t>URGENTE: Grupo Mateus não está no sistema. Confirmar cadastro no CRM/billing antes de qualquer ação comercial.</t>
  </si>
  <si>
    <t>P3 — 📊 ESTRATÉGICO</t>
  </si>
  <si>
    <t>Bloco completo (20 contas)</t>
  </si>
  <si>
    <t>Criar cadência de revisão mensal do bloco: scorecard de saúde por conta, atualização de metas, alerta automático para contas com queda &gt;15% MoM.</t>
  </si>
  <si>
    <t>Prevenção de churn e aumento de visibilidade sobre o bloco</t>
  </si>
  <si>
    <t>Scorecard atualizado mensalmente; 0 contas com churn no Q</t>
  </si>
  <si>
    <t>Gerente de Vendas</t>
  </si>
  <si>
    <t>Usar esta planilha como base. Sugerir atualização mensal com dados do sistema.</t>
  </si>
  <si>
    <t>ANÁLISE VISUAL  |  MID-TIER GROWTH ACCOUNTS — RETAIL 2025  |  20 CONTAS PRIORITÁRIAS</t>
  </si>
  <si>
    <t>Dados — Receita por Conta</t>
  </si>
  <si>
    <t>Dados — Margem</t>
  </si>
  <si>
    <t>Dados — Tendência Receita</t>
  </si>
  <si>
    <t>Dados — Categorias</t>
  </si>
  <si>
    <t>Gross Profit (USD)</t>
  </si>
  <si>
    <t>Trend vs LQTD</t>
  </si>
  <si>
    <t>Qtd</t>
  </si>
  <si>
    <t>Receita</t>
  </si>
  <si>
    <t>TRACKER DE ACOMPANHAMENTO MENSAL  |  20 CONTAS — 2025</t>
  </si>
  <si>
    <t>Meta Anual
(USD)</t>
  </si>
  <si>
    <t>Receita
Atual</t>
  </si>
  <si>
    <t>Mar/25</t>
  </si>
  <si>
    <t>Abr/25</t>
  </si>
  <si>
    <t>Mai/25</t>
  </si>
  <si>
    <t>Jun/25</t>
  </si>
  <si>
    <t>Jul/25</t>
  </si>
  <si>
    <t>Ago/25</t>
  </si>
  <si>
    <t>Set/25</t>
  </si>
  <si>
    <t>Out/25</t>
  </si>
  <si>
    <t>Nov/25</t>
  </si>
  <si>
    <t>Dez/25</t>
  </si>
  <si>
    <t>Total
Realizado</t>
  </si>
  <si>
    <t>← preencher</t>
  </si>
  <si>
    <t>TOTAL BLOCO</t>
  </si>
  <si>
    <t>LEGENDA DAS METAS ANUAIS</t>
  </si>
  <si>
    <t>Contas crescendo (trend &gt;0):</t>
  </si>
  <si>
    <t>Meta = Receita atual × 1.2 (+20%)</t>
  </si>
  <si>
    <t>Contas em queda (trend &lt;0):</t>
  </si>
  <si>
    <t>Meta = Receita atual × 1.3 (recuperação de 30%)</t>
  </si>
  <si>
    <t>Contas novas (sem baseline):</t>
  </si>
  <si>
    <t>Meta = Receita atual × 1.25 ou definida pelo AM</t>
  </si>
  <si>
    <t>Coluna amarela (Mar/25):</t>
  </si>
  <si>
    <t>Preencher com receita realizada no mês — atualizar mensalmente</t>
  </si>
  <si>
    <t>Josue Moro</t>
  </si>
  <si>
    <t>Cintya Camargo</t>
  </si>
  <si>
    <t>Julia Nunes</t>
  </si>
  <si>
    <t>Anne Tulio</t>
  </si>
  <si>
    <t>Willian Julius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</si>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</sst>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"/>
  </numFmts>
  <fonts count="40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9"/>
      <color rgb="FFFFFFFF"/>
      <name val="Arial"/>
      <charset val="1"/>
    </font>
    <font>
      <sz val="8"/>
      <color rgb="FFFFFFFF"/>
      <name val="Arial"/>
      <charset val="1"/>
    </font>
    <font>
      <b/>
      <sz val="14"/>
      <color rgb="FF1B2A4A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1B2A4A"/>
      <name val="Arial"/>
      <charset val="1"/>
    </font>
    <font>
      <sz val="9"/>
      <color rgb="FFC00000"/>
      <name val="Arial"/>
      <charset val="1"/>
    </font>
    <font>
      <sz val="9"/>
      <color rgb="FF217346"/>
      <name val="Arial"/>
      <charset val="1"/>
    </font>
    <font>
      <b/>
      <sz val="9"/>
      <color rgb="FF1B2A4A"/>
      <name val="Arial"/>
      <charset val="1"/>
    </font>
    <font>
      <i/>
      <sz val="9"/>
      <color rgb="FF1B2A4A"/>
      <name val="Arial"/>
      <charset val="1"/>
    </font>
    <font>
      <b/>
      <sz val="8"/>
      <color rgb="FFFFFFFF"/>
      <name val="Arial"/>
      <charset val="1"/>
    </font>
    <font>
      <b/>
      <sz val="9"/>
      <color rgb="FF1A5276"/>
      <name val="Arial"/>
      <charset val="1"/>
    </font>
    <font>
      <sz val="9"/>
      <color rgb="FF1A5276"/>
      <name val="Arial"/>
      <charset val="1"/>
    </font>
    <font>
      <b/>
      <sz val="9"/>
      <color rgb="FF217346"/>
      <name val="Arial"/>
      <charset val="1"/>
    </font>
    <font>
      <b/>
      <sz val="9"/>
      <color rgb="FF7F8C8D"/>
      <name val="Arial"/>
      <charset val="1"/>
    </font>
    <font>
      <sz val="9"/>
      <color rgb="FF7F8C8D"/>
      <name val="Arial"/>
      <charset val="1"/>
    </font>
    <font>
      <sz val="9"/>
      <color rgb="FFECF0F1"/>
      <name val="Arial"/>
      <charset val="1"/>
    </font>
    <font>
      <b/>
      <sz val="13"/>
      <color rgb="FFFFFFFF"/>
      <name val="Arial"/>
      <charset val="1"/>
    </font>
    <font>
      <sz val="9"/>
      <color rgb="FF888888"/>
      <name val="Arial"/>
      <charset val="1"/>
    </font>
    <font>
      <b/>
      <sz val="9"/>
      <color rgb="FF1F497D"/>
      <name val="Arial"/>
      <charset val="1"/>
    </font>
    <font>
      <b/>
      <sz val="9"/>
      <color rgb="FF2E5090"/>
      <name val="Arial"/>
      <charset val="1"/>
    </font>
    <font>
      <b/>
      <sz val="9"/>
      <color rgb="FF555555"/>
      <name val="Arial"/>
      <charset val="1"/>
    </font>
    <font>
      <b/>
      <sz val="9"/>
      <color rgb="FFC00000"/>
      <name val="Arial"/>
      <charset val="1"/>
    </font>
    <font>
      <sz val="9"/>
      <color rgb="FFE69138"/>
      <name val="Arial"/>
      <charset val="1"/>
    </font>
    <font>
      <b/>
      <sz val="8"/>
      <color rgb="FFC00000"/>
      <name val="Arial"/>
      <charset val="1"/>
    </font>
    <font>
      <sz val="8"/>
      <color rgb="FFC00000"/>
      <name val="Arial"/>
      <charset val="1"/>
    </font>
    <font>
      <b/>
      <sz val="8"/>
      <color rgb="FF2E5090"/>
      <name val="Arial"/>
      <charset val="1"/>
    </font>
    <font>
      <sz val="8"/>
      <color rgb="FF2E5090"/>
      <name val="Arial"/>
      <charset val="1"/>
    </font>
    <font>
      <b/>
      <sz val="8"/>
      <color rgb="FF1B2A4A"/>
      <name val="Arial"/>
      <charset val="1"/>
    </font>
    <font>
      <sz val="8"/>
      <color rgb="FF1B2A4A"/>
      <name val="Arial"/>
      <charset val="1"/>
    </font>
    <font>
      <sz val="8"/>
      <color rgb="FF217346"/>
      <name val="Arial"/>
      <charset val="1"/>
    </font>
    <font>
      <b/>
      <sz val="11"/>
      <color rgb="FFFFFFFF"/>
      <name val="Arial"/>
      <charset val="1"/>
    </font>
    <font>
      <i/>
      <sz val="8"/>
      <color rgb="FF888888"/>
      <name val="Arial"/>
      <charset val="1"/>
    </font>
    <font>
      <i/>
      <sz val="9"/>
      <color rgb="FF666666"/>
      <name val="Arial"/>
      <charset val="1"/>
    </font>
    <font>
      <sz val="9"/>
      <color rgb="FFAAAAAA"/>
      <name val="Arial"/>
      <charset val="1"/>
    </font>
    <font>
      <i/>
      <sz val="9"/>
      <color rgb="FF217346"/>
      <name val="Arial"/>
      <charset val="1"/>
    </font>
    <font>
      <i/>
      <sz val="9"/>
      <name val="Arial"/>
      <charset val="1"/>
    </font>
    <font>
      <b/>
      <sz val="8"/>
      <color rgb="FFFFFFFF"/>
      <name val="Arial"/>
    </font>
  </fonts>
  <fills count="21">
    <fill>
      <patternFill patternType="none"/>
    </fill>
    <fill>
      <patternFill patternType="gray125"/>
    </fill>
    <fill>
      <patternFill patternType="solid">
        <fgColor rgb="FF1B2A4A"/>
        <bgColor rgb="FF2C3E50"/>
      </patternFill>
    </fill>
    <fill>
      <patternFill patternType="solid">
        <fgColor rgb="FF00A3E0"/>
        <bgColor rgb="FF4BACC6"/>
      </patternFill>
    </fill>
    <fill>
      <patternFill patternType="solid">
        <fgColor rgb="FF2E5090"/>
        <bgColor rgb="FF1F497D"/>
      </patternFill>
    </fill>
    <fill>
      <patternFill patternType="solid">
        <fgColor rgb="FF217346"/>
        <bgColor rgb="FF1A5276"/>
      </patternFill>
    </fill>
    <fill>
      <patternFill patternType="solid">
        <fgColor rgb="FFFFFFFF"/>
        <bgColor rgb="FFF9F9F9"/>
      </patternFill>
    </fill>
    <fill>
      <patternFill patternType="solid">
        <fgColor rgb="FFE2EFDA"/>
        <bgColor rgb="FFD9EAD3"/>
      </patternFill>
    </fill>
    <fill>
      <patternFill patternType="solid">
        <fgColor rgb="FFEBF5FB"/>
        <bgColor rgb="FFE8F8F5"/>
      </patternFill>
    </fill>
    <fill>
      <patternFill patternType="solid">
        <fgColor rgb="FFD6E4F0"/>
        <bgColor rgb="FFD9EAD3"/>
      </patternFill>
    </fill>
    <fill>
      <patternFill patternType="solid">
        <fgColor rgb="FFFFF2CC"/>
        <bgColor rgb="FFFCE4D6"/>
      </patternFill>
    </fill>
    <fill>
      <patternFill patternType="solid">
        <fgColor rgb="FFFFE0E0"/>
        <bgColor rgb="FFFCE4D6"/>
      </patternFill>
    </fill>
    <fill>
      <patternFill patternType="solid">
        <fgColor rgb="FFFCE4D6"/>
        <bgColor rgb="FFFFE0E0"/>
      </patternFill>
    </fill>
    <fill>
      <patternFill patternType="solid">
        <fgColor rgb="FFF2F2F2"/>
        <bgColor rgb="FFECF0F1"/>
      </patternFill>
    </fill>
    <fill>
      <patternFill patternType="solid">
        <fgColor rgb="FFD5F5E3"/>
        <bgColor rgb="FFE2EFDA"/>
      </patternFill>
    </fill>
    <fill>
      <patternFill patternType="solid">
        <fgColor rgb="FF2C3E50"/>
        <bgColor rgb="FF1B2A4A"/>
      </patternFill>
    </fill>
    <fill>
      <patternFill patternType="solid">
        <fgColor rgb="FFFFD7D7"/>
        <bgColor rgb="FFFFE0E0"/>
      </patternFill>
    </fill>
    <fill>
      <patternFill patternType="solid">
        <fgColor rgb="FFD9EAD3"/>
        <bgColor rgb="FFE2EFDA"/>
      </patternFill>
    </fill>
    <fill>
      <patternFill patternType="solid">
        <fgColor rgb="FF1A5276"/>
        <bgColor rgb="FF1F497D"/>
      </patternFill>
    </fill>
    <fill>
      <patternFill patternType="solid">
        <fgColor rgb="FF7F8C8D"/>
        <bgColor rgb="FF888888"/>
      </patternFill>
    </fill>
    <fill>
      <patternFill patternType="solid">
        <fgColor rgb="FFE8F8F5"/>
        <bgColor rgb="FFEBF5FB"/>
      </patternFill>
    </fill>
  </fills>
  <borders count="10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30">
    <xf numFmtId="0" fontId="0" fillId="0" borderId="0" xfId="0"/>
    <xf numFmtId="0" fontId="6" fillId="4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left" vertical="center"/>
    </xf>
    <xf numFmtId="0" fontId="7" fillId="7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/>
    </xf>
    <xf numFmtId="0" fontId="7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/>
    </xf>
    <xf numFmtId="0" fontId="7" fillId="9" borderId="3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left" vertical="center"/>
    </xf>
    <xf numFmtId="0" fontId="7" fillId="10" borderId="3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left" vertical="center"/>
    </xf>
    <xf numFmtId="0" fontId="7" fillId="11" borderId="3" xfId="0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horizontal="left" vertical="center"/>
    </xf>
    <xf numFmtId="0" fontId="7" fillId="12" borderId="3" xfId="0" applyFont="1" applyFill="1" applyBorder="1" applyAlignment="1">
      <alignment horizontal="center" vertical="center"/>
    </xf>
    <xf numFmtId="165" fontId="7" fillId="10" borderId="3" xfId="0" applyNumberFormat="1" applyFont="1" applyFill="1" applyBorder="1" applyAlignment="1">
      <alignment horizontal="center" vertical="center"/>
    </xf>
    <xf numFmtId="164" fontId="7" fillId="10" borderId="3" xfId="0" applyNumberFormat="1" applyFont="1" applyFill="1" applyBorder="1" applyAlignment="1">
      <alignment horizontal="center" vertical="center"/>
    </xf>
    <xf numFmtId="164" fontId="8" fillId="10" borderId="3" xfId="0" applyNumberFormat="1" applyFont="1" applyFill="1" applyBorder="1" applyAlignment="1">
      <alignment horizontal="center" vertical="center"/>
    </xf>
    <xf numFmtId="165" fontId="7" fillId="7" borderId="3" xfId="0" applyNumberFormat="1" applyFont="1" applyFill="1" applyBorder="1" applyAlignment="1">
      <alignment horizontal="center" vertical="center"/>
    </xf>
    <xf numFmtId="164" fontId="7" fillId="7" borderId="3" xfId="0" applyNumberFormat="1" applyFont="1" applyFill="1" applyBorder="1" applyAlignment="1">
      <alignment horizontal="center" vertical="center"/>
    </xf>
    <xf numFmtId="164" fontId="9" fillId="7" borderId="3" xfId="0" applyNumberFormat="1" applyFont="1" applyFill="1" applyBorder="1" applyAlignment="1">
      <alignment horizontal="center" vertical="center"/>
    </xf>
    <xf numFmtId="165" fontId="7" fillId="9" borderId="3" xfId="0" applyNumberFormat="1" applyFont="1" applyFill="1" applyBorder="1" applyAlignment="1">
      <alignment horizontal="center" vertical="center"/>
    </xf>
    <xf numFmtId="164" fontId="7" fillId="9" borderId="3" xfId="0" applyNumberFormat="1" applyFont="1" applyFill="1" applyBorder="1" applyAlignment="1">
      <alignment horizontal="center" vertical="center"/>
    </xf>
    <xf numFmtId="164" fontId="8" fillId="9" borderId="3" xfId="0" applyNumberFormat="1" applyFont="1" applyFill="1" applyBorder="1" applyAlignment="1">
      <alignment horizontal="center" vertical="center"/>
    </xf>
    <xf numFmtId="165" fontId="7" fillId="11" borderId="3" xfId="0" applyNumberFormat="1" applyFont="1" applyFill="1" applyBorder="1" applyAlignment="1">
      <alignment horizontal="center" vertical="center"/>
    </xf>
    <xf numFmtId="164" fontId="7" fillId="11" borderId="3" xfId="0" applyNumberFormat="1" applyFont="1" applyFill="1" applyBorder="1" applyAlignment="1">
      <alignment horizontal="center" vertical="center"/>
    </xf>
    <xf numFmtId="164" fontId="8" fillId="11" borderId="3" xfId="0" applyNumberFormat="1" applyFont="1" applyFill="1" applyBorder="1" applyAlignment="1">
      <alignment horizontal="center" vertical="center"/>
    </xf>
    <xf numFmtId="0" fontId="10" fillId="13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left" vertical="center"/>
    </xf>
    <xf numFmtId="165" fontId="7" fillId="8" borderId="3" xfId="0" applyNumberFormat="1" applyFont="1" applyFill="1" applyBorder="1" applyAlignment="1">
      <alignment horizontal="center" vertical="center"/>
    </xf>
    <xf numFmtId="164" fontId="7" fillId="8" borderId="3" xfId="0" applyNumberFormat="1" applyFont="1" applyFill="1" applyBorder="1" applyAlignment="1">
      <alignment horizontal="center" vertical="center"/>
    </xf>
    <xf numFmtId="0" fontId="15" fillId="14" borderId="3" xfId="0" applyFont="1" applyFill="1" applyBorder="1" applyAlignment="1">
      <alignment horizontal="left" vertical="center"/>
    </xf>
    <xf numFmtId="0" fontId="7" fillId="14" borderId="3" xfId="0" applyFont="1" applyFill="1" applyBorder="1" applyAlignment="1">
      <alignment horizontal="center" vertical="center"/>
    </xf>
    <xf numFmtId="165" fontId="7" fillId="14" borderId="3" xfId="0" applyNumberFormat="1" applyFont="1" applyFill="1" applyBorder="1" applyAlignment="1">
      <alignment horizontal="center" vertical="center"/>
    </xf>
    <xf numFmtId="164" fontId="9" fillId="14" borderId="3" xfId="0" applyNumberFormat="1" applyFont="1" applyFill="1" applyBorder="1" applyAlignment="1">
      <alignment horizontal="center" vertical="center"/>
    </xf>
    <xf numFmtId="0" fontId="16" fillId="13" borderId="3" xfId="0" applyFont="1" applyFill="1" applyBorder="1" applyAlignment="1">
      <alignment horizontal="left" vertical="center"/>
    </xf>
    <xf numFmtId="0" fontId="7" fillId="13" borderId="3" xfId="0" applyFont="1" applyFill="1" applyBorder="1" applyAlignment="1">
      <alignment horizontal="center" vertical="center"/>
    </xf>
    <xf numFmtId="165" fontId="7" fillId="13" borderId="3" xfId="0" applyNumberFormat="1" applyFont="1" applyFill="1" applyBorder="1" applyAlignment="1">
      <alignment horizontal="center" vertical="center"/>
    </xf>
    <xf numFmtId="164" fontId="9" fillId="13" borderId="3" xfId="0" applyNumberFormat="1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left" vertical="center"/>
    </xf>
    <xf numFmtId="0" fontId="7" fillId="10" borderId="3" xfId="0" applyFont="1" applyFill="1" applyBorder="1" applyAlignment="1">
      <alignment horizontal="left" vertical="center" wrapText="1"/>
    </xf>
    <xf numFmtId="0" fontId="20" fillId="10" borderId="3" xfId="0" applyFont="1" applyFill="1" applyBorder="1" applyAlignment="1">
      <alignment horizontal="center" vertical="center"/>
    </xf>
    <xf numFmtId="165" fontId="21" fillId="10" borderId="3" xfId="0" applyNumberFormat="1" applyFont="1" applyFill="1" applyBorder="1" applyAlignment="1">
      <alignment horizontal="center" vertical="center"/>
    </xf>
    <xf numFmtId="0" fontId="22" fillId="10" borderId="3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164" fontId="9" fillId="9" borderId="3" xfId="0" applyNumberFormat="1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left" vertical="center"/>
    </xf>
    <xf numFmtId="0" fontId="7" fillId="9" borderId="3" xfId="0" applyFont="1" applyFill="1" applyBorder="1" applyAlignment="1">
      <alignment horizontal="left" vertical="center" wrapText="1"/>
    </xf>
    <xf numFmtId="0" fontId="20" fillId="9" borderId="3" xfId="0" applyFont="1" applyFill="1" applyBorder="1" applyAlignment="1">
      <alignment horizontal="center" vertical="center"/>
    </xf>
    <xf numFmtId="165" fontId="21" fillId="9" borderId="3" xfId="0" applyNumberFormat="1" applyFont="1" applyFill="1" applyBorder="1" applyAlignment="1">
      <alignment horizontal="center" vertical="center"/>
    </xf>
    <xf numFmtId="0" fontId="22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0" fontId="10" fillId="16" borderId="3" xfId="0" applyFont="1" applyFill="1" applyBorder="1" applyAlignment="1">
      <alignment horizontal="center" vertical="center"/>
    </xf>
    <xf numFmtId="0" fontId="10" fillId="16" borderId="3" xfId="0" applyFont="1" applyFill="1" applyBorder="1" applyAlignment="1">
      <alignment horizontal="left" vertical="center"/>
    </xf>
    <xf numFmtId="165" fontId="7" fillId="16" borderId="3" xfId="0" applyNumberFormat="1" applyFont="1" applyFill="1" applyBorder="1" applyAlignment="1">
      <alignment horizontal="center" vertical="center"/>
    </xf>
    <xf numFmtId="164" fontId="7" fillId="16" borderId="3" xfId="0" applyNumberFormat="1" applyFont="1" applyFill="1" applyBorder="1" applyAlignment="1">
      <alignment horizontal="center" vertical="center"/>
    </xf>
    <xf numFmtId="164" fontId="8" fillId="16" borderId="3" xfId="0" applyNumberFormat="1" applyFont="1" applyFill="1" applyBorder="1" applyAlignment="1">
      <alignment horizontal="center" vertical="center"/>
    </xf>
    <xf numFmtId="0" fontId="8" fillId="16" borderId="3" xfId="0" applyFont="1" applyFill="1" applyBorder="1" applyAlignment="1">
      <alignment horizontal="center" vertical="center"/>
    </xf>
    <xf numFmtId="0" fontId="7" fillId="16" borderId="3" xfId="0" applyFont="1" applyFill="1" applyBorder="1" applyAlignment="1">
      <alignment horizontal="left" vertical="center" wrapText="1"/>
    </xf>
    <xf numFmtId="0" fontId="24" fillId="16" borderId="3" xfId="0" applyFont="1" applyFill="1" applyBorder="1" applyAlignment="1">
      <alignment horizontal="center" vertical="center"/>
    </xf>
    <xf numFmtId="0" fontId="20" fillId="16" borderId="3" xfId="0" applyFont="1" applyFill="1" applyBorder="1" applyAlignment="1">
      <alignment horizontal="center" vertical="center"/>
    </xf>
    <xf numFmtId="165" fontId="21" fillId="16" borderId="3" xfId="0" applyNumberFormat="1" applyFont="1" applyFill="1" applyBorder="1" applyAlignment="1">
      <alignment horizontal="center" vertical="center"/>
    </xf>
    <xf numFmtId="0" fontId="7" fillId="16" borderId="3" xfId="0" applyFont="1" applyFill="1" applyBorder="1" applyAlignment="1">
      <alignment horizontal="left" vertical="center"/>
    </xf>
    <xf numFmtId="0" fontId="10" fillId="17" borderId="3" xfId="0" applyFont="1" applyFill="1" applyBorder="1" applyAlignment="1">
      <alignment horizontal="center" vertical="center"/>
    </xf>
    <xf numFmtId="0" fontId="10" fillId="17" borderId="3" xfId="0" applyFont="1" applyFill="1" applyBorder="1" applyAlignment="1">
      <alignment horizontal="left" vertical="center"/>
    </xf>
    <xf numFmtId="165" fontId="7" fillId="17" borderId="3" xfId="0" applyNumberFormat="1" applyFont="1" applyFill="1" applyBorder="1" applyAlignment="1">
      <alignment horizontal="center" vertical="center"/>
    </xf>
    <xf numFmtId="164" fontId="7" fillId="17" borderId="3" xfId="0" applyNumberFormat="1" applyFont="1" applyFill="1" applyBorder="1" applyAlignment="1">
      <alignment horizontal="center" vertical="center"/>
    </xf>
    <xf numFmtId="164" fontId="9" fillId="17" borderId="3" xfId="0" applyNumberFormat="1" applyFont="1" applyFill="1" applyBorder="1" applyAlignment="1">
      <alignment horizontal="center" vertical="center"/>
    </xf>
    <xf numFmtId="0" fontId="9" fillId="17" borderId="3" xfId="0" applyFont="1" applyFill="1" applyBorder="1" applyAlignment="1">
      <alignment horizontal="center" vertical="center"/>
    </xf>
    <xf numFmtId="0" fontId="7" fillId="17" borderId="3" xfId="0" applyFont="1" applyFill="1" applyBorder="1" applyAlignment="1">
      <alignment horizontal="left" vertical="center" wrapText="1"/>
    </xf>
    <xf numFmtId="0" fontId="24" fillId="17" borderId="3" xfId="0" applyFont="1" applyFill="1" applyBorder="1" applyAlignment="1">
      <alignment horizontal="center" vertical="center"/>
    </xf>
    <xf numFmtId="0" fontId="20" fillId="17" borderId="3" xfId="0" applyFont="1" applyFill="1" applyBorder="1" applyAlignment="1">
      <alignment horizontal="center" vertical="center"/>
    </xf>
    <xf numFmtId="165" fontId="21" fillId="17" borderId="3" xfId="0" applyNumberFormat="1" applyFont="1" applyFill="1" applyBorder="1" applyAlignment="1">
      <alignment horizontal="center" vertical="center"/>
    </xf>
    <xf numFmtId="0" fontId="7" fillId="17" borderId="3" xfId="0" applyFont="1" applyFill="1" applyBorder="1" applyAlignment="1">
      <alignment horizontal="left" vertical="center"/>
    </xf>
    <xf numFmtId="0" fontId="10" fillId="12" borderId="3" xfId="0" applyFont="1" applyFill="1" applyBorder="1" applyAlignment="1">
      <alignment horizontal="center" vertical="center"/>
    </xf>
    <xf numFmtId="165" fontId="7" fillId="12" borderId="3" xfId="0" applyNumberFormat="1" applyFont="1" applyFill="1" applyBorder="1" applyAlignment="1">
      <alignment horizontal="center" vertical="center"/>
    </xf>
    <xf numFmtId="164" fontId="7" fillId="12" borderId="3" xfId="0" applyNumberFormat="1" applyFont="1" applyFill="1" applyBorder="1" applyAlignment="1">
      <alignment horizontal="center" vertical="center"/>
    </xf>
    <xf numFmtId="0" fontId="20" fillId="12" borderId="3" xfId="0" applyFont="1" applyFill="1" applyBorder="1" applyAlignment="1">
      <alignment horizontal="center" vertical="center"/>
    </xf>
    <xf numFmtId="0" fontId="25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/>
    </xf>
    <xf numFmtId="0" fontId="7" fillId="12" borderId="3" xfId="0" applyFont="1" applyFill="1" applyBorder="1" applyAlignment="1">
      <alignment horizontal="left" vertical="center" wrapText="1"/>
    </xf>
    <xf numFmtId="165" fontId="21" fillId="12" borderId="3" xfId="0" applyNumberFormat="1" applyFont="1" applyFill="1" applyBorder="1" applyAlignment="1">
      <alignment horizontal="center" vertical="center"/>
    </xf>
    <xf numFmtId="0" fontId="23" fillId="12" borderId="3" xfId="0" applyFont="1" applyFill="1" applyBorder="1" applyAlignment="1">
      <alignment horizontal="center" vertical="center"/>
    </xf>
    <xf numFmtId="0" fontId="21" fillId="12" borderId="3" xfId="0" applyFont="1" applyFill="1" applyBorder="1" applyAlignment="1">
      <alignment horizontal="center" vertical="center"/>
    </xf>
    <xf numFmtId="165" fontId="5" fillId="2" borderId="3" xfId="0" applyNumberFormat="1" applyFont="1" applyFill="1" applyBorder="1" applyAlignment="1">
      <alignment horizontal="center" vertical="center"/>
    </xf>
    <xf numFmtId="164" fontId="5" fillId="2" borderId="3" xfId="0" applyNumberFormat="1" applyFont="1" applyFill="1" applyBorder="1" applyAlignment="1">
      <alignment horizontal="center" vertical="center"/>
    </xf>
    <xf numFmtId="0" fontId="0" fillId="2" borderId="3" xfId="0" applyFill="1" applyBorder="1"/>
    <xf numFmtId="0" fontId="26" fillId="11" borderId="3" xfId="0" applyFont="1" applyFill="1" applyBorder="1" applyAlignment="1">
      <alignment horizontal="center" vertical="center" wrapText="1"/>
    </xf>
    <xf numFmtId="0" fontId="27" fillId="11" borderId="3" xfId="0" applyFont="1" applyFill="1" applyBorder="1" applyAlignment="1">
      <alignment horizontal="left" vertical="center" wrapText="1"/>
    </xf>
    <xf numFmtId="0" fontId="27" fillId="11" borderId="3" xfId="0" applyFont="1" applyFill="1" applyBorder="1" applyAlignment="1">
      <alignment horizontal="center" vertical="center" wrapText="1"/>
    </xf>
    <xf numFmtId="165" fontId="27" fillId="11" borderId="3" xfId="0" applyNumberFormat="1" applyFont="1" applyFill="1" applyBorder="1" applyAlignment="1">
      <alignment horizontal="center" vertical="center" wrapText="1"/>
    </xf>
    <xf numFmtId="164" fontId="27" fillId="11" borderId="3" xfId="0" applyNumberFormat="1" applyFont="1" applyFill="1" applyBorder="1" applyAlignment="1">
      <alignment horizontal="center" vertical="center" wrapText="1"/>
    </xf>
    <xf numFmtId="0" fontId="26" fillId="12" borderId="3" xfId="0" applyFont="1" applyFill="1" applyBorder="1" applyAlignment="1">
      <alignment horizontal="center" vertical="center" wrapText="1"/>
    </xf>
    <xf numFmtId="0" fontId="27" fillId="12" borderId="3" xfId="0" applyFont="1" applyFill="1" applyBorder="1" applyAlignment="1">
      <alignment horizontal="left" vertical="center" wrapText="1"/>
    </xf>
    <xf numFmtId="0" fontId="27" fillId="12" borderId="3" xfId="0" applyFont="1" applyFill="1" applyBorder="1" applyAlignment="1">
      <alignment horizontal="center" vertical="center" wrapText="1"/>
    </xf>
    <xf numFmtId="165" fontId="27" fillId="12" borderId="3" xfId="0" applyNumberFormat="1" applyFont="1" applyFill="1" applyBorder="1" applyAlignment="1">
      <alignment horizontal="center" vertical="center" wrapText="1"/>
    </xf>
    <xf numFmtId="164" fontId="27" fillId="12" borderId="3" xfId="0" applyNumberFormat="1" applyFont="1" applyFill="1" applyBorder="1" applyAlignment="1">
      <alignment horizontal="center" vertical="center" wrapText="1"/>
    </xf>
    <xf numFmtId="0" fontId="28" fillId="10" borderId="3" xfId="0" applyFont="1" applyFill="1" applyBorder="1" applyAlignment="1">
      <alignment horizontal="center" vertical="center" wrapText="1"/>
    </xf>
    <xf numFmtId="0" fontId="29" fillId="10" borderId="3" xfId="0" applyFont="1" applyFill="1" applyBorder="1" applyAlignment="1">
      <alignment horizontal="left" vertical="center" wrapText="1"/>
    </xf>
    <xf numFmtId="0" fontId="29" fillId="10" borderId="3" xfId="0" applyFont="1" applyFill="1" applyBorder="1" applyAlignment="1">
      <alignment horizontal="center" vertical="center" wrapText="1"/>
    </xf>
    <xf numFmtId="165" fontId="29" fillId="10" borderId="3" xfId="0" applyNumberFormat="1" applyFont="1" applyFill="1" applyBorder="1" applyAlignment="1">
      <alignment horizontal="center" vertical="center" wrapText="1"/>
    </xf>
    <xf numFmtId="164" fontId="29" fillId="10" borderId="3" xfId="0" applyNumberFormat="1" applyFont="1" applyFill="1" applyBorder="1" applyAlignment="1">
      <alignment horizontal="center" vertical="center" wrapText="1"/>
    </xf>
    <xf numFmtId="0" fontId="28" fillId="9" borderId="3" xfId="0" applyFont="1" applyFill="1" applyBorder="1" applyAlignment="1">
      <alignment horizontal="center" vertical="center" wrapText="1"/>
    </xf>
    <xf numFmtId="0" fontId="29" fillId="9" borderId="3" xfId="0" applyFont="1" applyFill="1" applyBorder="1" applyAlignment="1">
      <alignment horizontal="left" vertical="center" wrapText="1"/>
    </xf>
    <xf numFmtId="0" fontId="29" fillId="9" borderId="3" xfId="0" applyFont="1" applyFill="1" applyBorder="1" applyAlignment="1">
      <alignment horizontal="center" vertical="center" wrapText="1"/>
    </xf>
    <xf numFmtId="165" fontId="29" fillId="9" borderId="3" xfId="0" applyNumberFormat="1" applyFont="1" applyFill="1" applyBorder="1" applyAlignment="1">
      <alignment horizontal="center" vertical="center" wrapText="1"/>
    </xf>
    <xf numFmtId="164" fontId="29" fillId="9" borderId="3" xfId="0" applyNumberFormat="1" applyFont="1" applyFill="1" applyBorder="1" applyAlignment="1">
      <alignment horizontal="center" vertical="center" wrapText="1"/>
    </xf>
    <xf numFmtId="0" fontId="30" fillId="7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left" vertical="center" wrapText="1"/>
    </xf>
    <xf numFmtId="0" fontId="31" fillId="7" borderId="3" xfId="0" applyFont="1" applyFill="1" applyBorder="1" applyAlignment="1">
      <alignment horizontal="center" vertical="center" wrapText="1"/>
    </xf>
    <xf numFmtId="165" fontId="31" fillId="7" borderId="3" xfId="0" applyNumberFormat="1" applyFont="1" applyFill="1" applyBorder="1" applyAlignment="1">
      <alignment horizontal="center" vertical="center" wrapText="1"/>
    </xf>
    <xf numFmtId="164" fontId="31" fillId="7" borderId="3" xfId="0" applyNumberFormat="1" applyFont="1" applyFill="1" applyBorder="1" applyAlignment="1">
      <alignment horizontal="center" vertical="center" wrapText="1"/>
    </xf>
    <xf numFmtId="0" fontId="30" fillId="13" borderId="3" xfId="0" applyFont="1" applyFill="1" applyBorder="1" applyAlignment="1">
      <alignment horizontal="center" vertical="center" wrapText="1"/>
    </xf>
    <xf numFmtId="0" fontId="31" fillId="13" borderId="3" xfId="0" applyFont="1" applyFill="1" applyBorder="1" applyAlignment="1">
      <alignment horizontal="left" vertical="center" wrapText="1"/>
    </xf>
    <xf numFmtId="0" fontId="31" fillId="13" borderId="3" xfId="0" applyFont="1" applyFill="1" applyBorder="1" applyAlignment="1">
      <alignment horizontal="center" vertical="center" wrapText="1"/>
    </xf>
    <xf numFmtId="164" fontId="31" fillId="13" borderId="3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31" fillId="0" borderId="0" xfId="0" applyFont="1"/>
    <xf numFmtId="165" fontId="0" fillId="0" borderId="0" xfId="0" applyNumberFormat="1"/>
    <xf numFmtId="164" fontId="0" fillId="0" borderId="0" xfId="0" applyNumberFormat="1"/>
    <xf numFmtId="164" fontId="32" fillId="0" borderId="0" xfId="0" applyNumberFormat="1" applyFont="1"/>
    <xf numFmtId="164" fontId="27" fillId="0" borderId="0" xfId="0" applyNumberFormat="1" applyFont="1"/>
    <xf numFmtId="0" fontId="33" fillId="2" borderId="3" xfId="0" applyFont="1" applyFill="1" applyBorder="1" applyAlignment="1">
      <alignment horizontal="center" vertical="center" wrapText="1"/>
    </xf>
    <xf numFmtId="165" fontId="10" fillId="9" borderId="3" xfId="0" applyNumberFormat="1" applyFont="1" applyFill="1" applyBorder="1" applyAlignment="1">
      <alignment horizontal="center" vertical="center"/>
    </xf>
    <xf numFmtId="165" fontId="34" fillId="10" borderId="3" xfId="0" applyNumberFormat="1" applyFont="1" applyFill="1" applyBorder="1" applyAlignment="1">
      <alignment horizontal="center" vertical="center"/>
    </xf>
    <xf numFmtId="165" fontId="0" fillId="9" borderId="3" xfId="0" applyNumberFormat="1" applyFill="1" applyBorder="1" applyAlignment="1">
      <alignment horizontal="center" vertical="center"/>
    </xf>
    <xf numFmtId="165" fontId="22" fillId="9" borderId="3" xfId="0" applyNumberFormat="1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left" vertical="center"/>
    </xf>
    <xf numFmtId="165" fontId="21" fillId="6" borderId="3" xfId="0" applyNumberFormat="1" applyFont="1" applyFill="1" applyBorder="1" applyAlignment="1">
      <alignment horizontal="center" vertical="center"/>
    </xf>
    <xf numFmtId="165" fontId="10" fillId="6" borderId="3" xfId="0" applyNumberFormat="1" applyFont="1" applyFill="1" applyBorder="1" applyAlignment="1">
      <alignment horizontal="center" vertical="center"/>
    </xf>
    <xf numFmtId="165" fontId="0" fillId="6" borderId="3" xfId="0" applyNumberFormat="1" applyFill="1" applyBorder="1" applyAlignment="1">
      <alignment horizontal="center" vertical="center"/>
    </xf>
    <xf numFmtId="165" fontId="22" fillId="6" borderId="3" xfId="0" applyNumberFormat="1" applyFont="1" applyFill="1" applyBorder="1" applyAlignment="1">
      <alignment horizontal="center" vertical="center"/>
    </xf>
    <xf numFmtId="165" fontId="6" fillId="2" borderId="3" xfId="0" applyNumberFormat="1" applyFont="1" applyFill="1" applyBorder="1" applyAlignment="1">
      <alignment horizontal="center" vertical="center"/>
    </xf>
    <xf numFmtId="0" fontId="10" fillId="13" borderId="3" xfId="0" applyFont="1" applyFill="1" applyBorder="1" applyAlignment="1">
      <alignment horizontal="left" vertical="center"/>
    </xf>
    <xf numFmtId="0" fontId="12" fillId="4" borderId="3" xfId="0" applyFont="1" applyFill="1" applyBorder="1" applyAlignment="1">
      <alignment horizontal="center" vertical="center"/>
    </xf>
    <xf numFmtId="0" fontId="12" fillId="18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19" borderId="3" xfId="0" applyFont="1" applyFill="1" applyBorder="1" applyAlignment="1">
      <alignment horizontal="center" vertical="center"/>
    </xf>
    <xf numFmtId="165" fontId="33" fillId="4" borderId="3" xfId="0" applyNumberFormat="1" applyFont="1" applyFill="1" applyBorder="1" applyAlignment="1">
      <alignment horizontal="center" vertical="center"/>
    </xf>
    <xf numFmtId="164" fontId="33" fillId="4" borderId="3" xfId="0" applyNumberFormat="1" applyFont="1" applyFill="1" applyBorder="1" applyAlignment="1">
      <alignment horizontal="center" vertical="center"/>
    </xf>
    <xf numFmtId="165" fontId="33" fillId="18" borderId="3" xfId="0" applyNumberFormat="1" applyFont="1" applyFill="1" applyBorder="1" applyAlignment="1">
      <alignment horizontal="center" vertical="center"/>
    </xf>
    <xf numFmtId="164" fontId="33" fillId="18" borderId="3" xfId="0" applyNumberFormat="1" applyFont="1" applyFill="1" applyBorder="1" applyAlignment="1">
      <alignment horizontal="center" vertical="center"/>
    </xf>
    <xf numFmtId="165" fontId="33" fillId="5" borderId="3" xfId="0" applyNumberFormat="1" applyFont="1" applyFill="1" applyBorder="1" applyAlignment="1">
      <alignment horizontal="center" vertical="center"/>
    </xf>
    <xf numFmtId="164" fontId="33" fillId="5" borderId="3" xfId="0" applyNumberFormat="1" applyFont="1" applyFill="1" applyBorder="1" applyAlignment="1">
      <alignment horizontal="center" vertical="center"/>
    </xf>
    <xf numFmtId="165" fontId="33" fillId="19" borderId="3" xfId="0" applyNumberFormat="1" applyFont="1" applyFill="1" applyBorder="1" applyAlignment="1">
      <alignment horizontal="center" vertical="center"/>
    </xf>
    <xf numFmtId="164" fontId="33" fillId="19" borderId="3" xfId="0" applyNumberFormat="1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3" fontId="7" fillId="8" borderId="3" xfId="0" applyNumberFormat="1" applyFont="1" applyFill="1" applyBorder="1" applyAlignment="1">
      <alignment horizontal="center" vertical="center"/>
    </xf>
    <xf numFmtId="164" fontId="8" fillId="8" borderId="3" xfId="0" applyNumberFormat="1" applyFont="1" applyFill="1" applyBorder="1" applyAlignment="1">
      <alignment horizontal="center" vertical="center"/>
    </xf>
    <xf numFmtId="10" fontId="7" fillId="8" borderId="3" xfId="0" applyNumberFormat="1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0" fontId="35" fillId="8" borderId="3" xfId="0" applyFont="1" applyFill="1" applyBorder="1" applyAlignment="1">
      <alignment horizontal="left" vertical="center"/>
    </xf>
    <xf numFmtId="164" fontId="9" fillId="8" borderId="3" xfId="0" applyNumberFormat="1" applyFont="1" applyFill="1" applyBorder="1" applyAlignment="1">
      <alignment horizontal="center" vertical="center"/>
    </xf>
    <xf numFmtId="164" fontId="15" fillId="8" borderId="3" xfId="0" applyNumberFormat="1" applyFont="1" applyFill="1" applyBorder="1" applyAlignment="1">
      <alignment horizontal="center" vertical="center"/>
    </xf>
    <xf numFmtId="0" fontId="36" fillId="8" borderId="3" xfId="0" applyFont="1" applyFill="1" applyBorder="1" applyAlignment="1">
      <alignment horizontal="center" vertical="center"/>
    </xf>
    <xf numFmtId="164" fontId="24" fillId="8" borderId="3" xfId="0" applyNumberFormat="1" applyFont="1" applyFill="1" applyBorder="1" applyAlignment="1">
      <alignment horizontal="center" vertical="center"/>
    </xf>
    <xf numFmtId="0" fontId="15" fillId="20" borderId="3" xfId="0" applyFont="1" applyFill="1" applyBorder="1" applyAlignment="1">
      <alignment horizontal="center" vertical="center"/>
    </xf>
    <xf numFmtId="0" fontId="7" fillId="20" borderId="3" xfId="0" applyFont="1" applyFill="1" applyBorder="1" applyAlignment="1">
      <alignment horizontal="left" vertical="center"/>
    </xf>
    <xf numFmtId="0" fontId="2" fillId="20" borderId="3" xfId="0" applyFont="1" applyFill="1" applyBorder="1" applyAlignment="1">
      <alignment horizontal="center" vertical="center"/>
    </xf>
    <xf numFmtId="3" fontId="7" fillId="20" borderId="3" xfId="0" applyNumberFormat="1" applyFont="1" applyFill="1" applyBorder="1" applyAlignment="1">
      <alignment horizontal="center" vertical="center"/>
    </xf>
    <xf numFmtId="165" fontId="7" fillId="20" borderId="3" xfId="0" applyNumberFormat="1" applyFont="1" applyFill="1" applyBorder="1" applyAlignment="1">
      <alignment horizontal="center" vertical="center"/>
    </xf>
    <xf numFmtId="164" fontId="8" fillId="20" borderId="3" xfId="0" applyNumberFormat="1" applyFont="1" applyFill="1" applyBorder="1" applyAlignment="1">
      <alignment horizontal="center" vertical="center"/>
    </xf>
    <xf numFmtId="0" fontId="36" fillId="20" borderId="3" xfId="0" applyFont="1" applyFill="1" applyBorder="1" applyAlignment="1">
      <alignment horizontal="center" vertical="center"/>
    </xf>
    <xf numFmtId="10" fontId="7" fillId="20" borderId="3" xfId="0" applyNumberFormat="1" applyFont="1" applyFill="1" applyBorder="1" applyAlignment="1">
      <alignment horizontal="center" vertical="center"/>
    </xf>
    <xf numFmtId="0" fontId="9" fillId="20" borderId="3" xfId="0" applyFont="1" applyFill="1" applyBorder="1" applyAlignment="1">
      <alignment horizontal="center" vertical="center"/>
    </xf>
    <xf numFmtId="0" fontId="35" fillId="20" borderId="3" xfId="0" applyFont="1" applyFill="1" applyBorder="1" applyAlignment="1">
      <alignment horizontal="left" vertical="center"/>
    </xf>
    <xf numFmtId="0" fontId="15" fillId="14" borderId="3" xfId="0" applyFont="1" applyFill="1" applyBorder="1" applyAlignment="1">
      <alignment horizontal="center" vertical="center"/>
    </xf>
    <xf numFmtId="0" fontId="10" fillId="14" borderId="3" xfId="0" applyFont="1" applyFill="1" applyBorder="1" applyAlignment="1">
      <alignment horizontal="left" vertical="center"/>
    </xf>
    <xf numFmtId="3" fontId="7" fillId="14" borderId="3" xfId="0" applyNumberFormat="1" applyFont="1" applyFill="1" applyBorder="1" applyAlignment="1">
      <alignment horizontal="center" vertical="center"/>
    </xf>
    <xf numFmtId="164" fontId="7" fillId="14" borderId="3" xfId="0" applyNumberFormat="1" applyFont="1" applyFill="1" applyBorder="1" applyAlignment="1">
      <alignment horizontal="center" vertical="center"/>
    </xf>
    <xf numFmtId="164" fontId="24" fillId="14" borderId="3" xfId="0" applyNumberFormat="1" applyFont="1" applyFill="1" applyBorder="1" applyAlignment="1">
      <alignment horizontal="center" vertical="center"/>
    </xf>
    <xf numFmtId="164" fontId="8" fillId="14" borderId="3" xfId="0" applyNumberFormat="1" applyFont="1" applyFill="1" applyBorder="1" applyAlignment="1">
      <alignment horizontal="center" vertical="center"/>
    </xf>
    <xf numFmtId="10" fontId="7" fillId="14" borderId="3" xfId="0" applyNumberFormat="1" applyFont="1" applyFill="1" applyBorder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0" fontId="37" fillId="14" borderId="3" xfId="0" applyFont="1" applyFill="1" applyBorder="1" applyAlignment="1">
      <alignment horizontal="left" vertical="center"/>
    </xf>
    <xf numFmtId="164" fontId="15" fillId="14" borderId="3" xfId="0" applyNumberFormat="1" applyFont="1" applyFill="1" applyBorder="1" applyAlignment="1">
      <alignment horizontal="center" vertical="center"/>
    </xf>
    <xf numFmtId="164" fontId="7" fillId="20" borderId="3" xfId="0" applyNumberFormat="1" applyFont="1" applyFill="1" applyBorder="1" applyAlignment="1">
      <alignment horizontal="center" vertical="center"/>
    </xf>
    <xf numFmtId="164" fontId="24" fillId="20" borderId="3" xfId="0" applyNumberFormat="1" applyFont="1" applyFill="1" applyBorder="1" applyAlignment="1">
      <alignment horizontal="center" vertical="center"/>
    </xf>
    <xf numFmtId="0" fontId="36" fillId="14" borderId="3" xfId="0" applyFont="1" applyFill="1" applyBorder="1" applyAlignment="1">
      <alignment horizontal="center" vertical="center"/>
    </xf>
    <xf numFmtId="164" fontId="9" fillId="20" borderId="3" xfId="0" applyNumberFormat="1" applyFont="1" applyFill="1" applyBorder="1" applyAlignment="1">
      <alignment horizontal="center" vertical="center"/>
    </xf>
    <xf numFmtId="164" fontId="15" fillId="20" borderId="3" xfId="0" applyNumberFormat="1" applyFont="1" applyFill="1" applyBorder="1" applyAlignment="1">
      <alignment horizontal="center" vertical="center"/>
    </xf>
    <xf numFmtId="0" fontId="16" fillId="13" borderId="3" xfId="0" applyFont="1" applyFill="1" applyBorder="1" applyAlignment="1">
      <alignment horizontal="center" vertical="center"/>
    </xf>
    <xf numFmtId="0" fontId="7" fillId="13" borderId="3" xfId="0" applyFont="1" applyFill="1" applyBorder="1" applyAlignment="1">
      <alignment horizontal="left" vertical="center"/>
    </xf>
    <xf numFmtId="0" fontId="2" fillId="13" borderId="3" xfId="0" applyFont="1" applyFill="1" applyBorder="1" applyAlignment="1">
      <alignment horizontal="center" vertical="center"/>
    </xf>
    <xf numFmtId="3" fontId="7" fillId="13" borderId="3" xfId="0" applyNumberFormat="1" applyFont="1" applyFill="1" applyBorder="1" applyAlignment="1">
      <alignment horizontal="center" vertical="center"/>
    </xf>
    <xf numFmtId="164" fontId="24" fillId="13" borderId="3" xfId="0" applyNumberFormat="1" applyFont="1" applyFill="1" applyBorder="1" applyAlignment="1">
      <alignment horizontal="center" vertical="center"/>
    </xf>
    <xf numFmtId="10" fontId="7" fillId="13" borderId="3" xfId="0" applyNumberFormat="1" applyFont="1" applyFill="1" applyBorder="1" applyAlignment="1">
      <alignment horizontal="center" vertical="center"/>
    </xf>
    <xf numFmtId="0" fontId="17" fillId="13" borderId="3" xfId="0" applyFont="1" applyFill="1" applyBorder="1" applyAlignment="1">
      <alignment horizontal="center" vertical="center"/>
    </xf>
    <xf numFmtId="0" fontId="35" fillId="13" borderId="3" xfId="0" applyFont="1" applyFill="1" applyBorder="1" applyAlignment="1">
      <alignment horizontal="left" vertical="center"/>
    </xf>
    <xf numFmtId="164" fontId="7" fillId="13" borderId="3" xfId="0" applyNumberFormat="1" applyFont="1" applyFill="1" applyBorder="1" applyAlignment="1">
      <alignment horizontal="center" vertical="center"/>
    </xf>
    <xf numFmtId="164" fontId="15" fillId="13" borderId="3" xfId="0" applyNumberFormat="1" applyFont="1" applyFill="1" applyBorder="1" applyAlignment="1">
      <alignment horizontal="center" vertical="center"/>
    </xf>
    <xf numFmtId="164" fontId="8" fillId="13" borderId="3" xfId="0" applyNumberFormat="1" applyFont="1" applyFill="1" applyBorder="1" applyAlignment="1">
      <alignment horizontal="center" vertical="center"/>
    </xf>
    <xf numFmtId="0" fontId="36" fillId="13" borderId="3" xfId="0" applyFont="1" applyFill="1" applyBorder="1" applyAlignment="1">
      <alignment horizontal="center" vertical="center"/>
    </xf>
    <xf numFmtId="3" fontId="5" fillId="2" borderId="3" xfId="0" applyNumberFormat="1" applyFont="1" applyFill="1" applyBorder="1" applyAlignment="1">
      <alignment horizontal="center" vertical="center"/>
    </xf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39" fillId="2" borderId="9" xfId="0" applyFont="1" applyFill="1" applyBorder="1" applyAlignment="1">
      <alignment horizontal="center" vertical="center" wrapText="1"/>
    </xf>
    <xf numFmtId="0" fontId="38" fillId="6" borderId="1" xfId="0" applyFont="1" applyFill="1" applyBorder="1" applyAlignment="1">
      <alignment horizontal="left" vertical="center"/>
    </xf>
    <xf numFmtId="0" fontId="0" fillId="0" borderId="0" xfId="0"/>
    <xf numFmtId="0" fontId="0" fillId="0" borderId="5" xfId="0" applyBorder="1"/>
    <xf numFmtId="0" fontId="2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19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5" fillId="2" borderId="1" xfId="0" applyFont="1" applyFill="1" applyBorder="1" applyAlignment="1">
      <alignment horizontal="center" vertical="center" wrapText="1"/>
    </xf>
    <xf numFmtId="0" fontId="18" fillId="15" borderId="1" xfId="0" applyFont="1" applyFill="1" applyBorder="1" applyAlignment="1">
      <alignment horizontal="center" vertical="center" wrapText="1"/>
    </xf>
    <xf numFmtId="164" fontId="7" fillId="8" borderId="3" xfId="0" applyNumberFormat="1" applyFont="1" applyFill="1" applyBorder="1" applyAlignment="1">
      <alignment horizontal="center" vertical="center"/>
    </xf>
    <xf numFmtId="0" fontId="0" fillId="0" borderId="6" xfId="0" applyBorder="1"/>
    <xf numFmtId="0" fontId="12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9" fillId="13" borderId="3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4" fontId="9" fillId="14" borderId="3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E2EFDA"/>
      <rgbColor rgb="FFFF00FF"/>
      <rgbColor rgb="FFF9F9F9"/>
      <rgbColor rgb="FF800000"/>
      <rgbColor rgb="FF008000"/>
      <rgbColor rgb="FF000080"/>
      <rgbColor rgb="FF666666"/>
      <rgbColor rgb="FF800080"/>
      <rgbColor rgb="FF217346"/>
      <rgbColor rgb="FFCCCCCC"/>
      <rgbColor rgb="FF878787"/>
      <rgbColor rgb="FFAAAAAA"/>
      <rgbColor rgb="FF8E44AD"/>
      <rgbColor rgb="FFFFF2CC"/>
      <rgbColor rgb="FFE8F8F5"/>
      <rgbColor rgb="FF660066"/>
      <rgbColor rgb="FFE69138"/>
      <rgbColor rgb="FF1A5276"/>
      <rgbColor rgb="FFD9D9D9"/>
      <rgbColor rgb="FF000080"/>
      <rgbColor rgb="FFFF00FF"/>
      <rgbColor rgb="FFF2F2F2"/>
      <rgbColor rgb="FF00FFFF"/>
      <rgbColor rgb="FF800080"/>
      <rgbColor rgb="FF800000"/>
      <rgbColor rgb="FF2E5090"/>
      <rgbColor rgb="FF0000FF"/>
      <rgbColor rgb="FF00A3E0"/>
      <rgbColor rgb="FFEBF5FB"/>
      <rgbColor rgb="FFD5F5E3"/>
      <rgbColor rgb="FFFCE4D6"/>
      <rgbColor rgb="FFD6E4F0"/>
      <rgbColor rgb="FFFFE0E0"/>
      <rgbColor rgb="FFD9EAD3"/>
      <rgbColor rgb="FFFFD7D7"/>
      <rgbColor rgb="FF4F81BD"/>
      <rgbColor rgb="FF4BACC6"/>
      <rgbColor rgb="FF9BBB59"/>
      <rgbColor rgb="FFECF0F1"/>
      <rgbColor rgb="FFF79646"/>
      <rgbColor rgb="FFFF6600"/>
      <rgbColor rgb="FF8064A2"/>
      <rgbColor rgb="FF888888"/>
      <rgbColor rgb="FF1B2A4A"/>
      <rgbColor rgb="FF7F8C8D"/>
      <rgbColor rgb="FF003300"/>
      <rgbColor rgb="FF555555"/>
      <rgbColor rgb="FF993300"/>
      <rgbColor rgb="FFC0504D"/>
      <rgbColor rgb="FF1F497D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Receita vs Gross Profit por Conta (USD)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'📈 Gráficos'!$B$4</c:f>
              <c:strCache>
                <c:ptCount val="1"/>
                <c:pt idx="0">
                  <c:v>Receita (USD)</c:v>
                </c:pt>
              </c:strCache>
            </c:strRef>
          </c:tx>
          <c:spPr>
            <a:solidFill>
              <a:srgbClr val="2E5090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Gráficos'!$A$5:$A$24</c:f>
              <c:strCache>
                <c:ptCount val="20"/>
                <c:pt idx="0">
                  <c:v>Wiser</c:v>
                </c:pt>
                <c:pt idx="1">
                  <c:v>Azul Linhas Aereas</c:v>
                </c:pt>
                <c:pt idx="2">
                  <c:v>Hospital Oswaldo Cruz</c:v>
                </c:pt>
                <c:pt idx="3">
                  <c:v>McDonalds Brazil</c:v>
                </c:pt>
                <c:pt idx="4">
                  <c:v>Outback Brazil</c:v>
                </c:pt>
                <c:pt idx="5">
                  <c:v>Pernod Ricard</c:v>
                </c:pt>
                <c:pt idx="6">
                  <c:v>MaxMilhas</c:v>
                </c:pt>
                <c:pt idx="7">
                  <c:v>Positivo Tecnologia</c:v>
                </c:pt>
                <c:pt idx="8">
                  <c:v>Ecohouse</c:v>
                </c:pt>
                <c:pt idx="9">
                  <c:v>Burger King Brasil</c:v>
                </c:pt>
                <c:pt idx="10">
                  <c:v>Cia Hering</c:v>
                </c:pt>
                <c:pt idx="11">
                  <c:v>Edenred Brazil - Freto</c:v>
                </c:pt>
                <c:pt idx="12">
                  <c:v>Boticario Brazil</c:v>
                </c:pt>
                <c:pt idx="13">
                  <c:v>Atlas Schindler</c:v>
                </c:pt>
                <c:pt idx="14">
                  <c:v>Sumicity</c:v>
                </c:pt>
                <c:pt idx="15">
                  <c:v>Rede dor</c:v>
                </c:pt>
                <c:pt idx="16">
                  <c:v>IBM Brasil</c:v>
                </c:pt>
                <c:pt idx="17">
                  <c:v>GOL LINHAS AEREAS</c:v>
                </c:pt>
                <c:pt idx="18">
                  <c:v>LARCO BRAZIL</c:v>
                </c:pt>
                <c:pt idx="19">
                  <c:v>Grupo Mateus</c:v>
                </c:pt>
              </c:strCache>
            </c:strRef>
          </c:cat>
          <c:val>
            <c:numRef>
              <c:f>'📈 Gráficos'!$B$5:$B$24</c:f>
              <c:numCache>
                <c:formatCode>\$#,##0</c:formatCode>
                <c:ptCount val="20"/>
                <c:pt idx="0">
                  <c:v>26062</c:v>
                </c:pt>
                <c:pt idx="1">
                  <c:v>23739</c:v>
                </c:pt>
                <c:pt idx="2">
                  <c:v>20714</c:v>
                </c:pt>
                <c:pt idx="3">
                  <c:v>20526</c:v>
                </c:pt>
                <c:pt idx="4">
                  <c:v>15619</c:v>
                </c:pt>
                <c:pt idx="5">
                  <c:v>15608</c:v>
                </c:pt>
                <c:pt idx="6">
                  <c:v>14222</c:v>
                </c:pt>
                <c:pt idx="7">
                  <c:v>13995</c:v>
                </c:pt>
                <c:pt idx="8">
                  <c:v>12407</c:v>
                </c:pt>
                <c:pt idx="9">
                  <c:v>11808</c:v>
                </c:pt>
                <c:pt idx="10">
                  <c:v>11583</c:v>
                </c:pt>
                <c:pt idx="11">
                  <c:v>9314</c:v>
                </c:pt>
                <c:pt idx="12">
                  <c:v>7840</c:v>
                </c:pt>
                <c:pt idx="13">
                  <c:v>7397</c:v>
                </c:pt>
                <c:pt idx="14">
                  <c:v>6916</c:v>
                </c:pt>
                <c:pt idx="15">
                  <c:v>6742</c:v>
                </c:pt>
                <c:pt idx="16">
                  <c:v>5597</c:v>
                </c:pt>
                <c:pt idx="17">
                  <c:v>4632</c:v>
                </c:pt>
                <c:pt idx="18">
                  <c:v>3686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7A-4A6C-9F06-1D0788B4C34D}"/>
            </c:ext>
          </c:extLst>
        </c:ser>
        <c:ser>
          <c:idx val="1"/>
          <c:order val="1"/>
          <c:tx>
            <c:strRef>
              <c:f>'📈 Gráficos'!$C$4</c:f>
              <c:strCache>
                <c:ptCount val="1"/>
                <c:pt idx="0">
                  <c:v>Gross Profit (USD)</c:v>
                </c:pt>
              </c:strCache>
            </c:strRef>
          </c:tx>
          <c:spPr>
            <a:solidFill>
              <a:srgbClr val="00A3E0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Gráficos'!$A$5:$A$24</c:f>
              <c:strCache>
                <c:ptCount val="20"/>
                <c:pt idx="0">
                  <c:v>Wiser</c:v>
                </c:pt>
                <c:pt idx="1">
                  <c:v>Azul Linhas Aereas</c:v>
                </c:pt>
                <c:pt idx="2">
                  <c:v>Hospital Oswaldo Cruz</c:v>
                </c:pt>
                <c:pt idx="3">
                  <c:v>McDonalds Brazil</c:v>
                </c:pt>
                <c:pt idx="4">
                  <c:v>Outback Brazil</c:v>
                </c:pt>
                <c:pt idx="5">
                  <c:v>Pernod Ricard</c:v>
                </c:pt>
                <c:pt idx="6">
                  <c:v>MaxMilhas</c:v>
                </c:pt>
                <c:pt idx="7">
                  <c:v>Positivo Tecnologia</c:v>
                </c:pt>
                <c:pt idx="8">
                  <c:v>Ecohouse</c:v>
                </c:pt>
                <c:pt idx="9">
                  <c:v>Burger King Brasil</c:v>
                </c:pt>
                <c:pt idx="10">
                  <c:v>Cia Hering</c:v>
                </c:pt>
                <c:pt idx="11">
                  <c:v>Edenred Brazil - Freto</c:v>
                </c:pt>
                <c:pt idx="12">
                  <c:v>Boticario Brazil</c:v>
                </c:pt>
                <c:pt idx="13">
                  <c:v>Atlas Schindler</c:v>
                </c:pt>
                <c:pt idx="14">
                  <c:v>Sumicity</c:v>
                </c:pt>
                <c:pt idx="15">
                  <c:v>Rede dor</c:v>
                </c:pt>
                <c:pt idx="16">
                  <c:v>IBM Brasil</c:v>
                </c:pt>
                <c:pt idx="17">
                  <c:v>GOL LINHAS AEREAS</c:v>
                </c:pt>
                <c:pt idx="18">
                  <c:v>LARCO BRAZIL</c:v>
                </c:pt>
                <c:pt idx="19">
                  <c:v>Grupo Mateus</c:v>
                </c:pt>
              </c:strCache>
            </c:strRef>
          </c:cat>
          <c:val>
            <c:numRef>
              <c:f>'📈 Gráficos'!$C$5:$C$24</c:f>
              <c:numCache>
                <c:formatCode>\$#,##0</c:formatCode>
                <c:ptCount val="20"/>
                <c:pt idx="0">
                  <c:v>15637</c:v>
                </c:pt>
                <c:pt idx="1">
                  <c:v>18719</c:v>
                </c:pt>
                <c:pt idx="2">
                  <c:v>17228</c:v>
                </c:pt>
                <c:pt idx="3">
                  <c:v>19047</c:v>
                </c:pt>
                <c:pt idx="4">
                  <c:v>5098</c:v>
                </c:pt>
                <c:pt idx="5">
                  <c:v>14092</c:v>
                </c:pt>
                <c:pt idx="6">
                  <c:v>5573</c:v>
                </c:pt>
                <c:pt idx="7">
                  <c:v>13664</c:v>
                </c:pt>
                <c:pt idx="8">
                  <c:v>10893</c:v>
                </c:pt>
                <c:pt idx="9">
                  <c:v>6025</c:v>
                </c:pt>
                <c:pt idx="10">
                  <c:v>5511</c:v>
                </c:pt>
                <c:pt idx="11">
                  <c:v>8647</c:v>
                </c:pt>
                <c:pt idx="12">
                  <c:v>7840</c:v>
                </c:pt>
                <c:pt idx="13">
                  <c:v>6663</c:v>
                </c:pt>
                <c:pt idx="14">
                  <c:v>4997</c:v>
                </c:pt>
                <c:pt idx="15">
                  <c:v>6742</c:v>
                </c:pt>
                <c:pt idx="16">
                  <c:v>5597</c:v>
                </c:pt>
                <c:pt idx="17">
                  <c:v>2859</c:v>
                </c:pt>
                <c:pt idx="18">
                  <c:v>3676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7A-4A6C-9F06-1D0788B4C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010855"/>
        <c:axId val="60290920"/>
      </c:barChart>
      <c:catAx>
        <c:axId val="810108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Conta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290920"/>
        <c:crosses val="autoZero"/>
        <c:auto val="1"/>
        <c:lblAlgn val="ctr"/>
        <c:lblOffset val="100"/>
        <c:noMultiLvlLbl val="0"/>
      </c:catAx>
      <c:valAx>
        <c:axId val="602909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010855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Margem % por Conta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'📈 Gráficos'!$F$4</c:f>
              <c:strCache>
                <c:ptCount val="1"/>
                <c:pt idx="0">
                  <c:v>Margem %</c:v>
                </c:pt>
              </c:strCache>
            </c:strRef>
          </c:tx>
          <c:spPr>
            <a:solidFill>
              <a:srgbClr val="217346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Gráficos'!$E$5:$E$23</c:f>
              <c:strCache>
                <c:ptCount val="19"/>
                <c:pt idx="0">
                  <c:v>Wiser</c:v>
                </c:pt>
                <c:pt idx="1">
                  <c:v>Azul Linhas Aereas</c:v>
                </c:pt>
                <c:pt idx="2">
                  <c:v>Hospital Oswaldo Cruz</c:v>
                </c:pt>
                <c:pt idx="3">
                  <c:v>McDonalds Brazil</c:v>
                </c:pt>
                <c:pt idx="4">
                  <c:v>Outback Brazil</c:v>
                </c:pt>
                <c:pt idx="5">
                  <c:v>Pernod Ricard</c:v>
                </c:pt>
                <c:pt idx="6">
                  <c:v>MaxMilhas</c:v>
                </c:pt>
                <c:pt idx="7">
                  <c:v>Positivo Tecnologia</c:v>
                </c:pt>
                <c:pt idx="8">
                  <c:v>Ecohouse</c:v>
                </c:pt>
                <c:pt idx="9">
                  <c:v>Burger King Brasil</c:v>
                </c:pt>
                <c:pt idx="10">
                  <c:v>Cia Hering</c:v>
                </c:pt>
                <c:pt idx="11">
                  <c:v>Edenred Brazil - Freto</c:v>
                </c:pt>
                <c:pt idx="12">
                  <c:v>Boticario Brazil</c:v>
                </c:pt>
                <c:pt idx="13">
                  <c:v>Atlas Schindler</c:v>
                </c:pt>
                <c:pt idx="14">
                  <c:v>Sumicity</c:v>
                </c:pt>
                <c:pt idx="15">
                  <c:v>Rede dor</c:v>
                </c:pt>
                <c:pt idx="16">
                  <c:v>IBM Brasil</c:v>
                </c:pt>
                <c:pt idx="17">
                  <c:v>GOL LINHAS AEREAS</c:v>
                </c:pt>
                <c:pt idx="18">
                  <c:v>LARCO BRAZIL</c:v>
                </c:pt>
              </c:strCache>
            </c:strRef>
          </c:cat>
          <c:val>
            <c:numRef>
              <c:f>'📈 Gráficos'!$F$5:$F$23</c:f>
              <c:numCache>
                <c:formatCode>0.0%</c:formatCode>
                <c:ptCount val="19"/>
                <c:pt idx="0">
                  <c:v>0.59930000000000005</c:v>
                </c:pt>
                <c:pt idx="1">
                  <c:v>0.78869999999999996</c:v>
                </c:pt>
                <c:pt idx="2">
                  <c:v>0.83220000000000005</c:v>
                </c:pt>
                <c:pt idx="3">
                  <c:v>0.92720000000000002</c:v>
                </c:pt>
                <c:pt idx="4">
                  <c:v>0.32569999999999999</c:v>
                </c:pt>
                <c:pt idx="5">
                  <c:v>0.90190000000000003</c:v>
                </c:pt>
                <c:pt idx="6">
                  <c:v>0.39219999999999999</c:v>
                </c:pt>
                <c:pt idx="7">
                  <c:v>0.97640000000000005</c:v>
                </c:pt>
                <c:pt idx="8">
                  <c:v>0.87770000000000004</c:v>
                </c:pt>
                <c:pt idx="9">
                  <c:v>0.51019999999999999</c:v>
                </c:pt>
                <c:pt idx="10">
                  <c:v>0.47599999999999998</c:v>
                </c:pt>
                <c:pt idx="11">
                  <c:v>0.92830000000000001</c:v>
                </c:pt>
                <c:pt idx="12">
                  <c:v>1</c:v>
                </c:pt>
                <c:pt idx="13">
                  <c:v>0.90080000000000005</c:v>
                </c:pt>
                <c:pt idx="14">
                  <c:v>0.72230000000000005</c:v>
                </c:pt>
                <c:pt idx="15">
                  <c:v>1</c:v>
                </c:pt>
                <c:pt idx="16">
                  <c:v>1</c:v>
                </c:pt>
                <c:pt idx="17">
                  <c:v>0.6169</c:v>
                </c:pt>
                <c:pt idx="18">
                  <c:v>0.99739999999999995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8B-40F1-872E-B62F38EA7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7510"/>
        <c:axId val="29378844"/>
      </c:barChart>
      <c:catAx>
        <c:axId val="146751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378844"/>
        <c:crosses val="autoZero"/>
        <c:auto val="1"/>
        <c:lblAlgn val="ctr"/>
        <c:lblOffset val="100"/>
        <c:noMultiLvlLbl val="0"/>
      </c:catAx>
      <c:valAx>
        <c:axId val="2937884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Margem %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67510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Tendência de Receita vs LQTD (%)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'📈 Gráficos'!$I$4</c:f>
              <c:strCache>
                <c:ptCount val="1"/>
                <c:pt idx="0">
                  <c:v>Trend vs LQTD</c:v>
                </c:pt>
              </c:strCache>
            </c:strRef>
          </c:tx>
          <c:spPr>
            <a:solidFill>
              <a:srgbClr val="00A3E0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'📈 Gráficos'!$H$5:$H$22</c:f>
              <c:strCache>
                <c:ptCount val="18"/>
                <c:pt idx="0">
                  <c:v>Boticario Brazil</c:v>
                </c:pt>
                <c:pt idx="1">
                  <c:v>Ecohouse</c:v>
                </c:pt>
                <c:pt idx="2">
                  <c:v>MaxMilhas</c:v>
                </c:pt>
                <c:pt idx="3">
                  <c:v>Outback Brazil</c:v>
                </c:pt>
                <c:pt idx="4">
                  <c:v>Azul Linhas Aereas</c:v>
                </c:pt>
                <c:pt idx="5">
                  <c:v>Pernod Ricard</c:v>
                </c:pt>
                <c:pt idx="6">
                  <c:v>Burger King Brasil</c:v>
                </c:pt>
                <c:pt idx="7">
                  <c:v>Edenred Brazil - Freto</c:v>
                </c:pt>
                <c:pt idx="8">
                  <c:v>Rede dor</c:v>
                </c:pt>
                <c:pt idx="9">
                  <c:v>Positivo Tecnologia</c:v>
                </c:pt>
                <c:pt idx="10">
                  <c:v>GOL LINHAS AEREAS</c:v>
                </c:pt>
                <c:pt idx="11">
                  <c:v>LARCO BRAZIL</c:v>
                </c:pt>
                <c:pt idx="12">
                  <c:v>Hospital Oswaldo Cruz</c:v>
                </c:pt>
                <c:pt idx="13">
                  <c:v>Sumicity</c:v>
                </c:pt>
                <c:pt idx="14">
                  <c:v>Wiser</c:v>
                </c:pt>
                <c:pt idx="15">
                  <c:v>IBM Brasil</c:v>
                </c:pt>
                <c:pt idx="16">
                  <c:v>Atlas Schindler</c:v>
                </c:pt>
                <c:pt idx="17">
                  <c:v>McDonalds Brazil</c:v>
                </c:pt>
              </c:strCache>
            </c:strRef>
          </c:cat>
          <c:val>
            <c:numRef>
              <c:f>'📈 Gráficos'!$I$5:$I$22</c:f>
              <c:numCache>
                <c:formatCode>0.0%</c:formatCode>
                <c:ptCount val="18"/>
                <c:pt idx="0">
                  <c:v>1.7927</c:v>
                </c:pt>
                <c:pt idx="1">
                  <c:v>0.26329999999999998</c:v>
                </c:pt>
                <c:pt idx="2">
                  <c:v>0.3049</c:v>
                </c:pt>
                <c:pt idx="3">
                  <c:v>0.31340000000000001</c:v>
                </c:pt>
                <c:pt idx="4">
                  <c:v>2.6499999999999999E-2</c:v>
                </c:pt>
                <c:pt idx="5">
                  <c:v>-3.8999999999999998E-3</c:v>
                </c:pt>
                <c:pt idx="6">
                  <c:v>-2.5700000000000001E-2</c:v>
                </c:pt>
                <c:pt idx="7">
                  <c:v>-1.9099999999999999E-2</c:v>
                </c:pt>
                <c:pt idx="8">
                  <c:v>-9.7000000000000003E-3</c:v>
                </c:pt>
                <c:pt idx="9">
                  <c:v>-1.9E-2</c:v>
                </c:pt>
                <c:pt idx="10">
                  <c:v>-0.13109999999999999</c:v>
                </c:pt>
                <c:pt idx="11">
                  <c:v>-0.1779</c:v>
                </c:pt>
                <c:pt idx="12">
                  <c:v>-0.1928</c:v>
                </c:pt>
                <c:pt idx="13">
                  <c:v>-0.1946</c:v>
                </c:pt>
                <c:pt idx="14">
                  <c:v>-0.36509999999999998</c:v>
                </c:pt>
                <c:pt idx="15">
                  <c:v>-0.33539999999999998</c:v>
                </c:pt>
                <c:pt idx="16">
                  <c:v>-0.39279999999999998</c:v>
                </c:pt>
                <c:pt idx="17">
                  <c:v>-0.79449999999999998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A1-4E21-A4A9-6BC166AB0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043995"/>
        <c:axId val="82307674"/>
      </c:barChart>
      <c:catAx>
        <c:axId val="9404399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307674"/>
        <c:crosses val="autoZero"/>
        <c:auto val="1"/>
        <c:lblAlgn val="ctr"/>
        <c:lblOffset val="100"/>
        <c:noMultiLvlLbl val="0"/>
      </c:catAx>
      <c:valAx>
        <c:axId val="8230767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043995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Distribuição por Categoria de Ação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'📈 Gráficos'!$L$4</c:f>
              <c:strCache>
                <c:ptCount val="1"/>
                <c:pt idx="0">
                  <c:v>Qtd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dPt>
            <c:idx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B5E-4E10-A659-FD386B6D2B55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3-BB5E-4E10-A659-FD386B6D2B55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5-BB5E-4E10-A659-FD386B6D2B55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7-BB5E-4E10-A659-FD386B6D2B55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9-BB5E-4E10-A659-FD386B6D2B55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B-BB5E-4E10-A659-FD386B6D2B55}"/>
              </c:ext>
            </c:extLst>
          </c:dPt>
          <c:dLbls>
            <c:dLbl>
              <c:idx val="0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BB5E-4E10-A659-FD386B6D2B55}"/>
                </c:ext>
              </c:extLst>
            </c:dLbl>
            <c:dLbl>
              <c:idx val="1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BB5E-4E10-A659-FD386B6D2B55}"/>
                </c:ext>
              </c:extLst>
            </c:dLbl>
            <c:dLbl>
              <c:idx val="2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BB5E-4E10-A659-FD386B6D2B55}"/>
                </c:ext>
              </c:extLst>
            </c:dLbl>
            <c:dLbl>
              <c:idx val="3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BB5E-4E10-A659-FD386B6D2B55}"/>
                </c:ext>
              </c:extLst>
            </c:dLbl>
            <c:dLbl>
              <c:idx val="4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BB5E-4E10-A659-FD386B6D2B55}"/>
                </c:ext>
              </c:extLst>
            </c:dLbl>
            <c:dLbl>
              <c:idx val="5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BB5E-4E10-A659-FD386B6D2B55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0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'📈 Gráficos'!$K$5:$K$10</c:f>
              <c:strCache>
                <c:ptCount val="6"/>
                <c:pt idx="0">
                  <c:v>🚀 Acelerar</c:v>
                </c:pt>
                <c:pt idx="1">
                  <c:v>📈 Manter Momentum</c:v>
                </c:pt>
                <c:pt idx="2">
                  <c:v>🎯 Recuperação Fácil</c:v>
                </c:pt>
                <c:pt idx="3">
                  <c:v>⚠️ Recuperar</c:v>
                </c:pt>
                <c:pt idx="4">
                  <c:v>🚨 Urgente</c:v>
                </c:pt>
                <c:pt idx="5">
                  <c:v>🔍 Novos — Ativar</c:v>
                </c:pt>
              </c:strCache>
            </c:strRef>
          </c:cat>
          <c:val>
            <c:numRef>
              <c:f>'📈 Gráficos'!$L$5:$L$10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7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B5E-4E10-A659-FD386B6D2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96840</xdr:rowOff>
    </xdr:from>
    <xdr:to>
      <xdr:col>10</xdr:col>
      <xdr:colOff>563760</xdr:colOff>
      <xdr:row>51</xdr:row>
      <xdr:rowOff>183240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25</xdr:row>
      <xdr:rowOff>96840</xdr:rowOff>
    </xdr:from>
    <xdr:to>
      <xdr:col>26</xdr:col>
      <xdr:colOff>472680</xdr:colOff>
      <xdr:row>51</xdr:row>
      <xdr:rowOff>183240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48</xdr:row>
      <xdr:rowOff>97200</xdr:rowOff>
    </xdr:from>
    <xdr:to>
      <xdr:col>7</xdr:col>
      <xdr:colOff>1152720</xdr:colOff>
      <xdr:row>74</xdr:row>
      <xdr:rowOff>183240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48</xdr:row>
      <xdr:rowOff>97200</xdr:rowOff>
    </xdr:from>
    <xdr:to>
      <xdr:col>24</xdr:col>
      <xdr:colOff>255600</xdr:colOff>
      <xdr:row>74</xdr:row>
      <xdr:rowOff>183240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Q40"/>
  <sheetViews>
    <sheetView showGridLines="0" zoomScaleNormal="100" workbookViewId="0"/>
  </sheetViews>
  <sheetFormatPr defaultColWidth="8.6328125" defaultRowHeight="14.5" x14ac:dyDescent="0.35"/>
  <cols>
    <col min="1" max="1" width="3" customWidth="1"/>
    <col min="2" max="2" width="20" customWidth="1"/>
    <col min="3" max="3" width="3" customWidth="1"/>
    <col min="4" max="4" width="20" customWidth="1"/>
    <col min="5" max="5" width="3" customWidth="1"/>
    <col min="6" max="6" width="14" customWidth="1"/>
    <col min="7" max="7" width="3" customWidth="1"/>
    <col min="8" max="8" width="14" customWidth="1"/>
    <col min="9" max="9" width="3" customWidth="1"/>
    <col min="10" max="10" width="12" customWidth="1"/>
    <col min="11" max="11" width="3" customWidth="1"/>
    <col min="12" max="12" width="14" customWidth="1"/>
    <col min="13" max="13" width="3" customWidth="1"/>
    <col min="14" max="14" width="18" customWidth="1"/>
    <col min="15" max="15" width="3" customWidth="1"/>
  </cols>
  <sheetData>
    <row r="1" spans="1:17" ht="49.5" customHeight="1" x14ac:dyDescent="0.35">
      <c r="A1" s="224" t="s">
        <v>133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1"/>
    </row>
    <row r="2" spans="1:17" ht="19.5" customHeight="1" x14ac:dyDescent="0.35">
      <c r="A2" s="208" t="s">
        <v>134</v>
      </c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1"/>
    </row>
    <row r="4" spans="1:17" ht="18" customHeight="1" x14ac:dyDescent="0.35">
      <c r="A4" s="226" t="s">
        <v>135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</row>
    <row r="5" spans="1:17" ht="30" customHeight="1" x14ac:dyDescent="0.35">
      <c r="A5" s="215">
        <f>COUNTA('📋 Carteira'!A3:A22)</f>
        <v>20</v>
      </c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02"/>
    </row>
    <row r="6" spans="1:17" ht="9.75" customHeight="1" x14ac:dyDescent="0.35">
      <c r="A6" s="217"/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</row>
    <row r="9" spans="1:17" ht="15" customHeight="1" x14ac:dyDescent="0.35">
      <c r="A9" s="219" t="s">
        <v>136</v>
      </c>
      <c r="B9" s="207"/>
      <c r="C9" s="207"/>
      <c r="D9" s="207"/>
      <c r="E9" s="207"/>
      <c r="F9" s="207"/>
      <c r="G9" s="207"/>
      <c r="H9" s="201"/>
    </row>
    <row r="10" spans="1:17" ht="53.25" customHeight="1" x14ac:dyDescent="0.35">
      <c r="A10" s="1" t="s">
        <v>137</v>
      </c>
      <c r="C10" s="1" t="s">
        <v>138</v>
      </c>
      <c r="D10" s="1" t="s">
        <v>6</v>
      </c>
      <c r="E10" s="1" t="s">
        <v>7</v>
      </c>
      <c r="F10" s="1" t="s">
        <v>8</v>
      </c>
      <c r="G10" s="1" t="s">
        <v>139</v>
      </c>
      <c r="H10" s="1" t="s">
        <v>140</v>
      </c>
    </row>
    <row r="11" spans="1:17" ht="18" customHeight="1" x14ac:dyDescent="0.35">
      <c r="A11" s="2" t="s">
        <v>141</v>
      </c>
      <c r="C11" s="3">
        <v>2</v>
      </c>
      <c r="D11" s="3" t="s">
        <v>142</v>
      </c>
      <c r="E11" s="3" t="s">
        <v>143</v>
      </c>
      <c r="F11" s="3" t="s">
        <v>144</v>
      </c>
      <c r="G11" s="2" t="s">
        <v>145</v>
      </c>
      <c r="H11" s="2" t="s">
        <v>146</v>
      </c>
    </row>
    <row r="12" spans="1:17" ht="18" customHeight="1" x14ac:dyDescent="0.35">
      <c r="A12" s="4" t="s">
        <v>147</v>
      </c>
      <c r="C12" s="5">
        <v>3</v>
      </c>
      <c r="D12" s="5" t="s">
        <v>148</v>
      </c>
      <c r="E12" s="5" t="s">
        <v>149</v>
      </c>
      <c r="F12" s="5" t="s">
        <v>150</v>
      </c>
      <c r="G12" s="4" t="s">
        <v>151</v>
      </c>
      <c r="H12" s="4" t="s">
        <v>152</v>
      </c>
    </row>
    <row r="13" spans="1:17" ht="18" customHeight="1" x14ac:dyDescent="0.35">
      <c r="A13" s="6" t="s">
        <v>153</v>
      </c>
      <c r="C13" s="7">
        <v>7</v>
      </c>
      <c r="D13" s="7" t="s">
        <v>154</v>
      </c>
      <c r="E13" s="7" t="s">
        <v>155</v>
      </c>
      <c r="F13" s="7" t="s">
        <v>156</v>
      </c>
      <c r="G13" s="6" t="s">
        <v>157</v>
      </c>
      <c r="H13" s="6" t="s">
        <v>152</v>
      </c>
    </row>
    <row r="14" spans="1:17" ht="18" customHeight="1" x14ac:dyDescent="0.35">
      <c r="A14" s="8" t="s">
        <v>158</v>
      </c>
      <c r="C14" s="9">
        <v>3</v>
      </c>
      <c r="D14" s="9" t="s">
        <v>159</v>
      </c>
      <c r="E14" s="9" t="s">
        <v>160</v>
      </c>
      <c r="F14" s="9" t="s">
        <v>161</v>
      </c>
      <c r="G14" s="8" t="s">
        <v>162</v>
      </c>
      <c r="H14" s="8" t="s">
        <v>163</v>
      </c>
    </row>
    <row r="15" spans="1:17" ht="18" customHeight="1" x14ac:dyDescent="0.35">
      <c r="A15" s="10" t="s">
        <v>164</v>
      </c>
      <c r="C15" s="11">
        <v>1</v>
      </c>
      <c r="D15" s="11" t="s">
        <v>165</v>
      </c>
      <c r="E15" s="11" t="s">
        <v>166</v>
      </c>
      <c r="F15" s="11" t="s">
        <v>167</v>
      </c>
      <c r="G15" s="10" t="s">
        <v>168</v>
      </c>
      <c r="H15" s="10" t="s">
        <v>169</v>
      </c>
    </row>
    <row r="16" spans="1:17" ht="18" customHeight="1" x14ac:dyDescent="0.35">
      <c r="A16" s="12" t="s">
        <v>170</v>
      </c>
      <c r="C16" s="13">
        <v>2</v>
      </c>
      <c r="D16" s="13" t="s">
        <v>171</v>
      </c>
      <c r="E16" s="13" t="s">
        <v>172</v>
      </c>
      <c r="F16" s="13" t="s">
        <v>173</v>
      </c>
      <c r="G16" s="12" t="s">
        <v>174</v>
      </c>
      <c r="H16" s="12" t="s">
        <v>175</v>
      </c>
    </row>
    <row r="18" spans="1:17" ht="15" customHeight="1" x14ac:dyDescent="0.35">
      <c r="A18" s="219" t="s">
        <v>176</v>
      </c>
      <c r="B18" s="207"/>
      <c r="C18" s="207"/>
      <c r="D18" s="207"/>
      <c r="E18" s="207"/>
      <c r="F18" s="207"/>
      <c r="G18" s="207"/>
      <c r="H18" s="201"/>
    </row>
    <row r="19" spans="1:17" ht="63.75" customHeight="1" x14ac:dyDescent="0.35">
      <c r="A19" s="1" t="s">
        <v>9</v>
      </c>
      <c r="C19" s="1" t="s">
        <v>10</v>
      </c>
      <c r="D19" s="1" t="s">
        <v>177</v>
      </c>
      <c r="E19" s="1" t="s">
        <v>178</v>
      </c>
      <c r="F19" s="1" t="s">
        <v>179</v>
      </c>
      <c r="G19" s="1" t="s">
        <v>180</v>
      </c>
      <c r="H19" s="1" t="s">
        <v>181</v>
      </c>
    </row>
    <row r="20" spans="1:17" ht="18" customHeight="1" x14ac:dyDescent="0.35">
      <c r="A20" s="9">
        <v>1</v>
      </c>
      <c r="C20" s="8" t="s">
        <v>61</v>
      </c>
      <c r="D20" s="14">
        <v>26062</v>
      </c>
      <c r="E20" s="14">
        <v>15637</v>
      </c>
      <c r="F20" s="15">
        <v>0.6</v>
      </c>
      <c r="G20" s="16">
        <v>-0.36499999999999999</v>
      </c>
      <c r="H20" s="8" t="s">
        <v>158</v>
      </c>
    </row>
    <row r="21" spans="1:17" ht="18" customHeight="1" x14ac:dyDescent="0.35">
      <c r="A21" s="3">
        <v>2</v>
      </c>
      <c r="C21" s="2" t="s">
        <v>64</v>
      </c>
      <c r="D21" s="17">
        <v>23739</v>
      </c>
      <c r="E21" s="17">
        <v>18719</v>
      </c>
      <c r="F21" s="18">
        <v>0.79</v>
      </c>
      <c r="G21" s="19">
        <v>2.7E-2</v>
      </c>
      <c r="H21" s="2" t="s">
        <v>147</v>
      </c>
    </row>
    <row r="22" spans="1:17" ht="18" customHeight="1" x14ac:dyDescent="0.35">
      <c r="A22" s="7">
        <v>3</v>
      </c>
      <c r="C22" s="6" t="s">
        <v>65</v>
      </c>
      <c r="D22" s="20">
        <v>20714</v>
      </c>
      <c r="E22" s="20">
        <v>17228</v>
      </c>
      <c r="F22" s="21">
        <v>0.83</v>
      </c>
      <c r="G22" s="22">
        <v>-0.193</v>
      </c>
      <c r="H22" s="6" t="s">
        <v>182</v>
      </c>
    </row>
    <row r="23" spans="1:17" ht="18" customHeight="1" x14ac:dyDescent="0.35">
      <c r="A23" s="11">
        <v>4</v>
      </c>
      <c r="C23" s="10" t="s">
        <v>66</v>
      </c>
      <c r="D23" s="23">
        <v>20526</v>
      </c>
      <c r="E23" s="23">
        <v>19047</v>
      </c>
      <c r="F23" s="24">
        <v>0.93</v>
      </c>
      <c r="G23" s="25">
        <v>-0.79500000000000004</v>
      </c>
      <c r="H23" s="10" t="s">
        <v>183</v>
      </c>
    </row>
    <row r="24" spans="1:17" ht="18" customHeight="1" x14ac:dyDescent="0.35">
      <c r="A24" s="3">
        <v>5</v>
      </c>
      <c r="C24" s="2" t="s">
        <v>67</v>
      </c>
      <c r="D24" s="17">
        <v>15619</v>
      </c>
      <c r="E24" s="17">
        <v>5098</v>
      </c>
      <c r="F24" s="18">
        <v>0.33</v>
      </c>
      <c r="G24" s="19">
        <v>0.313</v>
      </c>
      <c r="H24" s="2" t="s">
        <v>147</v>
      </c>
    </row>
    <row r="26" spans="1:17" ht="15" customHeight="1" x14ac:dyDescent="0.35">
      <c r="A26" s="219" t="s">
        <v>184</v>
      </c>
      <c r="B26" s="207"/>
      <c r="C26" s="207"/>
      <c r="D26" s="207"/>
      <c r="E26" s="207"/>
      <c r="F26" s="207"/>
      <c r="G26" s="207"/>
      <c r="H26" s="207"/>
      <c r="I26" s="207"/>
      <c r="J26" s="207"/>
      <c r="K26" s="207"/>
      <c r="L26" s="207"/>
      <c r="M26" s="207"/>
      <c r="N26" s="207"/>
      <c r="O26" s="207"/>
      <c r="P26" s="207"/>
      <c r="Q26" s="201"/>
    </row>
    <row r="27" spans="1:17" ht="21.75" customHeight="1" x14ac:dyDescent="0.35">
      <c r="A27" s="1" t="s">
        <v>9</v>
      </c>
      <c r="B27" s="218"/>
      <c r="C27" s="218"/>
      <c r="D27" s="218"/>
      <c r="E27" s="218"/>
      <c r="F27" s="218"/>
      <c r="G27" s="207"/>
      <c r="H27" s="207"/>
      <c r="I27" s="207"/>
      <c r="J27" s="207"/>
      <c r="K27" s="207"/>
      <c r="L27" s="207"/>
      <c r="M27" s="207"/>
      <c r="N27" s="207"/>
      <c r="O27" s="207"/>
      <c r="P27" s="207"/>
      <c r="Q27" s="201"/>
    </row>
    <row r="28" spans="1:17" ht="39.75" customHeight="1" x14ac:dyDescent="0.35">
      <c r="A28" s="26">
        <v>1</v>
      </c>
      <c r="B28" s="218"/>
      <c r="C28" s="218"/>
      <c r="D28" s="218"/>
      <c r="E28" s="218"/>
      <c r="F28" s="218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201"/>
    </row>
    <row r="29" spans="1:17" ht="39.75" customHeight="1" x14ac:dyDescent="0.35">
      <c r="A29" s="27">
        <v>2</v>
      </c>
      <c r="B29" s="218"/>
      <c r="C29" s="218"/>
      <c r="D29" s="218"/>
      <c r="E29" s="218"/>
      <c r="F29" s="218"/>
      <c r="G29" s="207"/>
      <c r="H29" s="207"/>
      <c r="I29" s="207"/>
      <c r="J29" s="207"/>
      <c r="K29" s="207"/>
      <c r="L29" s="207"/>
      <c r="M29" s="207"/>
      <c r="N29" s="207"/>
      <c r="O29" s="207"/>
      <c r="P29" s="207"/>
      <c r="Q29" s="201"/>
    </row>
    <row r="30" spans="1:17" ht="39.75" customHeight="1" x14ac:dyDescent="0.35">
      <c r="A30" s="26">
        <v>3</v>
      </c>
      <c r="B30" s="218"/>
      <c r="C30" s="218"/>
      <c r="D30" s="218"/>
      <c r="E30" s="218"/>
      <c r="F30" s="218"/>
      <c r="G30" s="207"/>
      <c r="H30" s="207"/>
      <c r="I30" s="207"/>
      <c r="J30" s="207"/>
      <c r="K30" s="207"/>
      <c r="L30" s="207"/>
      <c r="M30" s="207"/>
      <c r="N30" s="207"/>
      <c r="O30" s="207"/>
      <c r="P30" s="207"/>
      <c r="Q30" s="201"/>
    </row>
    <row r="31" spans="1:17" ht="39.75" customHeight="1" x14ac:dyDescent="0.35">
      <c r="A31" s="27">
        <v>4</v>
      </c>
      <c r="B31" s="218"/>
      <c r="C31" s="218"/>
      <c r="D31" s="218"/>
      <c r="E31" s="218"/>
      <c r="F31" s="218"/>
      <c r="G31" s="207"/>
      <c r="H31" s="207"/>
      <c r="I31" s="207"/>
      <c r="J31" s="207"/>
      <c r="K31" s="207"/>
      <c r="L31" s="207"/>
      <c r="M31" s="207"/>
      <c r="N31" s="207"/>
      <c r="O31" s="207"/>
      <c r="P31" s="207"/>
      <c r="Q31" s="201"/>
    </row>
    <row r="32" spans="1:17" ht="39.75" customHeight="1" x14ac:dyDescent="0.35">
      <c r="A32" s="26">
        <v>5</v>
      </c>
      <c r="B32" s="218"/>
      <c r="C32" s="218"/>
      <c r="D32" s="218"/>
      <c r="E32" s="218"/>
      <c r="F32" s="218"/>
      <c r="G32" s="207"/>
      <c r="H32" s="207"/>
      <c r="I32" s="207"/>
      <c r="J32" s="207"/>
      <c r="K32" s="207"/>
      <c r="L32" s="207"/>
      <c r="M32" s="207"/>
      <c r="N32" s="207"/>
      <c r="O32" s="207"/>
      <c r="P32" s="207"/>
      <c r="Q32" s="201"/>
    </row>
    <row r="34" spans="1:17" ht="21.75" customHeight="1" x14ac:dyDescent="0.35">
      <c r="A34" s="219" t="s">
        <v>185</v>
      </c>
      <c r="B34" s="207"/>
      <c r="C34" s="207"/>
      <c r="D34" s="207"/>
      <c r="E34" s="207"/>
      <c r="F34" s="207"/>
      <c r="G34" s="207"/>
      <c r="H34" s="207"/>
      <c r="I34" s="207"/>
      <c r="J34" s="207"/>
      <c r="K34" s="207"/>
      <c r="L34" s="207"/>
      <c r="M34" s="207"/>
      <c r="N34" s="207"/>
      <c r="O34" s="207"/>
      <c r="P34" s="207"/>
      <c r="Q34" s="201"/>
    </row>
    <row r="35" spans="1:17" ht="21.75" customHeight="1" x14ac:dyDescent="0.35">
      <c r="A35" s="28" t="s">
        <v>186</v>
      </c>
      <c r="C35" s="28" t="s">
        <v>187</v>
      </c>
      <c r="D35" s="28" t="s">
        <v>177</v>
      </c>
      <c r="E35" s="28" t="s">
        <v>178</v>
      </c>
      <c r="F35" s="223" t="s">
        <v>179</v>
      </c>
      <c r="G35" s="207"/>
      <c r="H35" s="207"/>
      <c r="I35" s="207"/>
      <c r="J35" s="207"/>
      <c r="K35" s="207"/>
      <c r="L35" s="207"/>
      <c r="M35" s="207"/>
      <c r="N35" s="207"/>
      <c r="O35" s="207"/>
      <c r="P35" s="222"/>
      <c r="Q35" s="203"/>
    </row>
    <row r="36" spans="1:17" ht="19.5" customHeight="1" x14ac:dyDescent="0.35">
      <c r="A36" s="29" t="s">
        <v>26</v>
      </c>
      <c r="C36" s="5">
        <v>30</v>
      </c>
      <c r="D36" s="30">
        <v>2285949</v>
      </c>
      <c r="E36" s="30">
        <v>1092693</v>
      </c>
      <c r="F36" s="221">
        <v>0.47799999999999998</v>
      </c>
      <c r="G36" s="207"/>
      <c r="H36" s="207"/>
      <c r="I36" s="207"/>
      <c r="J36" s="207"/>
      <c r="K36" s="207"/>
      <c r="L36" s="207"/>
      <c r="M36" s="207"/>
      <c r="N36" s="207"/>
      <c r="O36" s="207"/>
      <c r="P36" s="222"/>
      <c r="Q36" s="201"/>
    </row>
    <row r="37" spans="1:17" ht="19.5" customHeight="1" x14ac:dyDescent="0.35">
      <c r="A37" s="32" t="s">
        <v>188</v>
      </c>
      <c r="C37" s="33">
        <v>20</v>
      </c>
      <c r="D37" s="34">
        <v>238405</v>
      </c>
      <c r="E37" s="34">
        <v>178508</v>
      </c>
      <c r="F37" s="227">
        <v>0.748</v>
      </c>
      <c r="G37" s="207"/>
      <c r="H37" s="207"/>
      <c r="I37" s="207"/>
      <c r="J37" s="207"/>
      <c r="K37" s="207"/>
      <c r="L37" s="207"/>
      <c r="M37" s="207"/>
      <c r="N37" s="207"/>
      <c r="O37" s="207"/>
      <c r="P37" s="222"/>
      <c r="Q37" s="201"/>
    </row>
    <row r="38" spans="1:17" ht="19.5" customHeight="1" x14ac:dyDescent="0.35">
      <c r="A38" s="36" t="s">
        <v>93</v>
      </c>
      <c r="C38" s="37">
        <v>31</v>
      </c>
      <c r="D38" s="38">
        <v>201</v>
      </c>
      <c r="E38" s="38">
        <v>149</v>
      </c>
      <c r="F38" s="225">
        <v>0.74099999999999999</v>
      </c>
      <c r="G38" s="207"/>
      <c r="H38" s="207"/>
      <c r="I38" s="207"/>
      <c r="J38" s="207"/>
      <c r="K38" s="207"/>
      <c r="L38" s="207"/>
      <c r="M38" s="207"/>
      <c r="N38" s="207"/>
      <c r="O38" s="207"/>
      <c r="P38" s="222"/>
      <c r="Q38" s="201"/>
    </row>
    <row r="40" spans="1:17" ht="21.75" customHeight="1" x14ac:dyDescent="0.35">
      <c r="A40" s="220" t="s">
        <v>189</v>
      </c>
      <c r="B40" s="207"/>
      <c r="C40" s="207"/>
      <c r="D40" s="207"/>
      <c r="E40" s="207"/>
      <c r="F40" s="207"/>
      <c r="G40" s="207"/>
      <c r="H40" s="207"/>
      <c r="I40" s="207"/>
      <c r="J40" s="207"/>
      <c r="K40" s="207"/>
      <c r="L40" s="207"/>
      <c r="M40" s="207"/>
      <c r="N40" s="207"/>
      <c r="O40" s="207"/>
      <c r="P40" s="207"/>
      <c r="Q40" s="201"/>
    </row>
  </sheetData>
  <mergeCells count="45">
    <mergeCell ref="A2:P2"/>
    <mergeCell ref="A1:P1"/>
    <mergeCell ref="B28:F28"/>
    <mergeCell ref="F38:P38"/>
    <mergeCell ref="N27:P27"/>
    <mergeCell ref="C5:D6"/>
    <mergeCell ref="E5:F6"/>
    <mergeCell ref="K5:L6"/>
    <mergeCell ref="M5:N6"/>
    <mergeCell ref="O5:P6"/>
    <mergeCell ref="G28:M28"/>
    <mergeCell ref="B30:F30"/>
    <mergeCell ref="A4:B4"/>
    <mergeCell ref="G4:H4"/>
    <mergeCell ref="I4:J4"/>
    <mergeCell ref="A18:G18"/>
    <mergeCell ref="N32:P32"/>
    <mergeCell ref="A40:P40"/>
    <mergeCell ref="A34:P34"/>
    <mergeCell ref="N31:P31"/>
    <mergeCell ref="F36:P36"/>
    <mergeCell ref="O4:P4"/>
    <mergeCell ref="N30:P30"/>
    <mergeCell ref="G27:M27"/>
    <mergeCell ref="F35:P35"/>
    <mergeCell ref="B29:F29"/>
    <mergeCell ref="B32:F32"/>
    <mergeCell ref="F37:P37"/>
    <mergeCell ref="G30:M30"/>
    <mergeCell ref="A26:P26"/>
    <mergeCell ref="K4:L4"/>
    <mergeCell ref="M4:N4"/>
    <mergeCell ref="G32:M32"/>
    <mergeCell ref="B27:F27"/>
    <mergeCell ref="C4:D4"/>
    <mergeCell ref="N29:P29"/>
    <mergeCell ref="E4:F4"/>
    <mergeCell ref="G31:M31"/>
    <mergeCell ref="A9:G9"/>
    <mergeCell ref="N28:P28"/>
    <mergeCell ref="G29:M29"/>
    <mergeCell ref="A5:B6"/>
    <mergeCell ref="G5:H6"/>
    <mergeCell ref="B31:F31"/>
    <mergeCell ref="I5:J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090"/>
  </sheetPr>
  <dimension ref="A1:R23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6328125" defaultRowHeight="14.5" x14ac:dyDescent="0.35"/>
  <cols>
    <col min="1" max="1" width="4" customWidth="1"/>
    <col min="2" max="2" width="26" customWidth="1"/>
    <col min="3" max="4" width="14" customWidth="1"/>
    <col min="5" max="5" width="10" customWidth="1"/>
    <col min="6" max="6" width="12" customWidth="1"/>
    <col min="7" max="7" width="14" customWidth="1"/>
    <col min="8" max="8" width="12" customWidth="1"/>
    <col min="9" max="9" width="24" customWidth="1"/>
    <col min="10" max="10" width="42" customWidth="1"/>
    <col min="11" max="11" width="12" customWidth="1"/>
    <col min="12" max="12" width="18" customWidth="1"/>
    <col min="13" max="16" width="14" customWidth="1"/>
    <col min="17" max="17" width="22" customWidth="1"/>
    <col min="18" max="18" width="45" customWidth="1"/>
  </cols>
  <sheetData>
    <row r="1" spans="1:18" ht="39.75" customHeight="1" x14ac:dyDescent="0.35">
      <c r="A1" s="211" t="s">
        <v>190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</row>
    <row r="2" spans="1:18" ht="33.75" customHeight="1" x14ac:dyDescent="0.35">
      <c r="A2" s="40" t="s">
        <v>9</v>
      </c>
      <c r="B2" s="40" t="s">
        <v>10</v>
      </c>
      <c r="C2" s="40" t="s">
        <v>177</v>
      </c>
      <c r="D2" s="40" t="s">
        <v>178</v>
      </c>
      <c r="E2" s="40" t="s">
        <v>17</v>
      </c>
      <c r="F2" s="40" t="s">
        <v>191</v>
      </c>
      <c r="G2" s="40" t="s">
        <v>192</v>
      </c>
      <c r="H2" s="40" t="s">
        <v>193</v>
      </c>
      <c r="I2" s="40" t="s">
        <v>194</v>
      </c>
      <c r="J2" s="40" t="s">
        <v>195</v>
      </c>
      <c r="K2" s="40" t="s">
        <v>140</v>
      </c>
      <c r="L2" s="40" t="s">
        <v>196</v>
      </c>
      <c r="M2" s="40" t="s">
        <v>197</v>
      </c>
      <c r="N2" s="40" t="s">
        <v>198</v>
      </c>
      <c r="O2" s="40" t="s">
        <v>199</v>
      </c>
      <c r="P2" s="40" t="s">
        <v>200</v>
      </c>
      <c r="Q2" s="40" t="s">
        <v>201</v>
      </c>
      <c r="R2" s="40" t="s">
        <v>202</v>
      </c>
    </row>
    <row r="3" spans="1:18" ht="42" customHeight="1" x14ac:dyDescent="0.35">
      <c r="A3" s="41">
        <v>1</v>
      </c>
      <c r="B3" s="8" t="s">
        <v>61</v>
      </c>
      <c r="C3" s="14">
        <v>26062</v>
      </c>
      <c r="D3" s="14">
        <v>15637</v>
      </c>
      <c r="E3" s="15">
        <v>0.59930000000000005</v>
      </c>
      <c r="F3" s="16">
        <v>-0.36509999999999998</v>
      </c>
      <c r="G3" s="42" t="s">
        <v>203</v>
      </c>
      <c r="H3" s="16">
        <v>-0.1716</v>
      </c>
      <c r="I3" s="43" t="s">
        <v>158</v>
      </c>
      <c r="J3" s="44" t="s">
        <v>204</v>
      </c>
      <c r="K3" s="9" t="s">
        <v>163</v>
      </c>
      <c r="L3" s="45" t="s">
        <v>205</v>
      </c>
      <c r="M3" s="45" t="s">
        <v>206</v>
      </c>
      <c r="N3" s="46">
        <f>26062*1.3</f>
        <v>33880.6</v>
      </c>
      <c r="O3" s="46">
        <f>15637*1.3</f>
        <v>20328.100000000002</v>
      </c>
      <c r="P3" s="47" t="s">
        <v>207</v>
      </c>
      <c r="Q3" s="8" t="s">
        <v>208</v>
      </c>
      <c r="R3" s="44" t="s">
        <v>209</v>
      </c>
    </row>
    <row r="4" spans="1:18" ht="42" customHeight="1" x14ac:dyDescent="0.35">
      <c r="A4" s="48">
        <v>2</v>
      </c>
      <c r="B4" s="6" t="s">
        <v>64</v>
      </c>
      <c r="C4" s="20">
        <v>23739</v>
      </c>
      <c r="D4" s="20">
        <v>18719</v>
      </c>
      <c r="E4" s="21">
        <v>0.78869999999999996</v>
      </c>
      <c r="F4" s="49">
        <v>2.6499999999999999E-2</v>
      </c>
      <c r="G4" s="50" t="s">
        <v>210</v>
      </c>
      <c r="H4" s="22">
        <v>-0.14199999999999999</v>
      </c>
      <c r="I4" s="51" t="s">
        <v>147</v>
      </c>
      <c r="J4" s="52" t="s">
        <v>211</v>
      </c>
      <c r="K4" s="7" t="s">
        <v>152</v>
      </c>
      <c r="L4" s="53" t="s">
        <v>205</v>
      </c>
      <c r="M4" s="53" t="s">
        <v>206</v>
      </c>
      <c r="N4" s="54">
        <f>23739*1.2</f>
        <v>28486.799999999999</v>
      </c>
      <c r="O4" s="54">
        <f>18719*1.2</f>
        <v>22462.799999999999</v>
      </c>
      <c r="P4" s="55" t="s">
        <v>207</v>
      </c>
      <c r="Q4" s="6" t="s">
        <v>212</v>
      </c>
      <c r="R4" s="52" t="s">
        <v>213</v>
      </c>
    </row>
    <row r="5" spans="1:18" ht="42" customHeight="1" x14ac:dyDescent="0.35">
      <c r="A5" s="48">
        <v>3</v>
      </c>
      <c r="B5" s="6" t="s">
        <v>65</v>
      </c>
      <c r="C5" s="20">
        <v>20714</v>
      </c>
      <c r="D5" s="20">
        <v>17228</v>
      </c>
      <c r="E5" s="21">
        <v>0.83220000000000005</v>
      </c>
      <c r="F5" s="22">
        <v>-0.1928</v>
      </c>
      <c r="G5" s="56" t="s">
        <v>203</v>
      </c>
      <c r="H5" s="22">
        <v>-2.8199999999999999E-2</v>
      </c>
      <c r="I5" s="51" t="s">
        <v>153</v>
      </c>
      <c r="J5" s="52" t="s">
        <v>214</v>
      </c>
      <c r="K5" s="7" t="s">
        <v>152</v>
      </c>
      <c r="L5" s="53" t="s">
        <v>205</v>
      </c>
      <c r="M5" s="53" t="s">
        <v>206</v>
      </c>
      <c r="N5" s="54">
        <f>20714*1.3</f>
        <v>26928.2</v>
      </c>
      <c r="O5" s="54">
        <f>17228*1.3</f>
        <v>22396.400000000001</v>
      </c>
      <c r="P5" s="57" t="s">
        <v>215</v>
      </c>
      <c r="Q5" s="6" t="s">
        <v>216</v>
      </c>
      <c r="R5" s="52" t="s">
        <v>217</v>
      </c>
    </row>
    <row r="6" spans="1:18" ht="42" customHeight="1" x14ac:dyDescent="0.35">
      <c r="A6" s="58">
        <v>4</v>
      </c>
      <c r="B6" s="59" t="s">
        <v>66</v>
      </c>
      <c r="C6" s="60">
        <v>20526</v>
      </c>
      <c r="D6" s="60">
        <v>19047</v>
      </c>
      <c r="E6" s="61">
        <v>0.92720000000000002</v>
      </c>
      <c r="F6" s="62">
        <v>-0.79449999999999998</v>
      </c>
      <c r="G6" s="63" t="s">
        <v>203</v>
      </c>
      <c r="H6" s="62">
        <v>-0.77410000000000001</v>
      </c>
      <c r="I6" s="59" t="s">
        <v>164</v>
      </c>
      <c r="J6" s="64" t="s">
        <v>218</v>
      </c>
      <c r="K6" s="65" t="s">
        <v>169</v>
      </c>
      <c r="L6" s="66" t="s">
        <v>205</v>
      </c>
      <c r="M6" s="66" t="s">
        <v>206</v>
      </c>
      <c r="N6" s="67">
        <f>20526*1.3</f>
        <v>26683.8</v>
      </c>
      <c r="O6" s="67">
        <f>19047*1.3</f>
        <v>24761.100000000002</v>
      </c>
      <c r="P6" s="65" t="s">
        <v>219</v>
      </c>
      <c r="Q6" s="68" t="s">
        <v>220</v>
      </c>
      <c r="R6" s="64" t="s">
        <v>221</v>
      </c>
    </row>
    <row r="7" spans="1:18" ht="42" customHeight="1" x14ac:dyDescent="0.35">
      <c r="A7" s="48">
        <v>5</v>
      </c>
      <c r="B7" s="6" t="s">
        <v>67</v>
      </c>
      <c r="C7" s="20">
        <v>15619</v>
      </c>
      <c r="D7" s="20">
        <v>5098</v>
      </c>
      <c r="E7" s="21">
        <v>0.32569999999999999</v>
      </c>
      <c r="F7" s="49">
        <v>0.31340000000000001</v>
      </c>
      <c r="G7" s="50" t="s">
        <v>210</v>
      </c>
      <c r="H7" s="22">
        <v>-3.0300000000000001E-2</v>
      </c>
      <c r="I7" s="51" t="s">
        <v>147</v>
      </c>
      <c r="J7" s="52" t="s">
        <v>222</v>
      </c>
      <c r="K7" s="7" t="s">
        <v>152</v>
      </c>
      <c r="L7" s="53" t="s">
        <v>205</v>
      </c>
      <c r="M7" s="53" t="s">
        <v>206</v>
      </c>
      <c r="N7" s="54">
        <f>15619*1.2</f>
        <v>18742.8</v>
      </c>
      <c r="O7" s="54">
        <f>5098*1.2</f>
        <v>6117.5999999999995</v>
      </c>
      <c r="P7" s="55" t="s">
        <v>207</v>
      </c>
      <c r="Q7" s="6" t="s">
        <v>220</v>
      </c>
      <c r="R7" s="52" t="s">
        <v>223</v>
      </c>
    </row>
    <row r="8" spans="1:18" ht="42" customHeight="1" x14ac:dyDescent="0.35">
      <c r="A8" s="48">
        <v>6</v>
      </c>
      <c r="B8" s="6" t="s">
        <v>68</v>
      </c>
      <c r="C8" s="20">
        <v>15608</v>
      </c>
      <c r="D8" s="20">
        <v>14092</v>
      </c>
      <c r="E8" s="21">
        <v>0.90190000000000003</v>
      </c>
      <c r="F8" s="22">
        <v>-3.8999999999999998E-3</v>
      </c>
      <c r="G8" s="56" t="s">
        <v>203</v>
      </c>
      <c r="H8" s="49">
        <v>0.1734</v>
      </c>
      <c r="I8" s="51" t="s">
        <v>153</v>
      </c>
      <c r="J8" s="52" t="s">
        <v>224</v>
      </c>
      <c r="K8" s="7" t="s">
        <v>152</v>
      </c>
      <c r="L8" s="53" t="s">
        <v>205</v>
      </c>
      <c r="M8" s="53" t="s">
        <v>206</v>
      </c>
      <c r="N8" s="54">
        <f>15608*1.3</f>
        <v>20290.400000000001</v>
      </c>
      <c r="O8" s="54">
        <f>14092*1.3</f>
        <v>18319.600000000002</v>
      </c>
      <c r="P8" s="57" t="s">
        <v>215</v>
      </c>
      <c r="Q8" s="6" t="s">
        <v>225</v>
      </c>
      <c r="R8" s="52" t="s">
        <v>226</v>
      </c>
    </row>
    <row r="9" spans="1:18" ht="42" customHeight="1" x14ac:dyDescent="0.35">
      <c r="A9" s="48">
        <v>7</v>
      </c>
      <c r="B9" s="6" t="s">
        <v>70</v>
      </c>
      <c r="C9" s="20">
        <v>14222</v>
      </c>
      <c r="D9" s="20">
        <v>5573</v>
      </c>
      <c r="E9" s="21">
        <v>0.39219999999999999</v>
      </c>
      <c r="F9" s="49">
        <v>0.3049</v>
      </c>
      <c r="G9" s="50" t="s">
        <v>210</v>
      </c>
      <c r="H9" s="49">
        <v>0.1953</v>
      </c>
      <c r="I9" s="51" t="s">
        <v>147</v>
      </c>
      <c r="J9" s="52" t="s">
        <v>227</v>
      </c>
      <c r="K9" s="7" t="s">
        <v>152</v>
      </c>
      <c r="L9" s="53" t="s">
        <v>205</v>
      </c>
      <c r="M9" s="53" t="s">
        <v>206</v>
      </c>
      <c r="N9" s="54">
        <f>14222*1.2</f>
        <v>17066.399999999998</v>
      </c>
      <c r="O9" s="54">
        <f>5573*1.2</f>
        <v>6687.5999999999995</v>
      </c>
      <c r="P9" s="55" t="s">
        <v>207</v>
      </c>
      <c r="Q9" s="6" t="s">
        <v>228</v>
      </c>
      <c r="R9" s="52" t="s">
        <v>229</v>
      </c>
    </row>
    <row r="10" spans="1:18" ht="42" customHeight="1" x14ac:dyDescent="0.35">
      <c r="A10" s="48">
        <v>8</v>
      </c>
      <c r="B10" s="6" t="s">
        <v>71</v>
      </c>
      <c r="C10" s="20">
        <v>13995</v>
      </c>
      <c r="D10" s="20">
        <v>13664</v>
      </c>
      <c r="E10" s="21">
        <v>0.97640000000000005</v>
      </c>
      <c r="F10" s="22">
        <v>-1.9E-2</v>
      </c>
      <c r="G10" s="56" t="s">
        <v>203</v>
      </c>
      <c r="H10" s="22">
        <v>-2.0500000000000001E-2</v>
      </c>
      <c r="I10" s="51" t="s">
        <v>153</v>
      </c>
      <c r="J10" s="52" t="s">
        <v>230</v>
      </c>
      <c r="K10" s="7" t="s">
        <v>152</v>
      </c>
      <c r="L10" s="53" t="s">
        <v>205</v>
      </c>
      <c r="M10" s="53" t="s">
        <v>206</v>
      </c>
      <c r="N10" s="54">
        <f>13995*1.3</f>
        <v>18193.5</v>
      </c>
      <c r="O10" s="54">
        <f>13664*1.3</f>
        <v>17763.2</v>
      </c>
      <c r="P10" s="57" t="s">
        <v>215</v>
      </c>
      <c r="Q10" s="6" t="s">
        <v>231</v>
      </c>
      <c r="R10" s="52" t="s">
        <v>232</v>
      </c>
    </row>
    <row r="11" spans="1:18" ht="42" customHeight="1" x14ac:dyDescent="0.35">
      <c r="A11" s="69">
        <v>9</v>
      </c>
      <c r="B11" s="70" t="s">
        <v>72</v>
      </c>
      <c r="C11" s="71">
        <v>12407</v>
      </c>
      <c r="D11" s="71">
        <v>10893</v>
      </c>
      <c r="E11" s="72">
        <v>0.87770000000000004</v>
      </c>
      <c r="F11" s="73">
        <v>0.26329999999999998</v>
      </c>
      <c r="G11" s="74" t="s">
        <v>210</v>
      </c>
      <c r="H11" s="73">
        <v>0.38829999999999998</v>
      </c>
      <c r="I11" s="70" t="s">
        <v>141</v>
      </c>
      <c r="J11" s="75" t="s">
        <v>233</v>
      </c>
      <c r="K11" s="76" t="s">
        <v>146</v>
      </c>
      <c r="L11" s="77" t="s">
        <v>205</v>
      </c>
      <c r="M11" s="77" t="s">
        <v>206</v>
      </c>
      <c r="N11" s="78">
        <f>12407*1.2</f>
        <v>14888.4</v>
      </c>
      <c r="O11" s="78">
        <f>10893*1.2</f>
        <v>13071.6</v>
      </c>
      <c r="P11" s="76" t="s">
        <v>219</v>
      </c>
      <c r="Q11" s="79" t="s">
        <v>234</v>
      </c>
      <c r="R11" s="75" t="s">
        <v>235</v>
      </c>
    </row>
    <row r="12" spans="1:18" ht="42" customHeight="1" x14ac:dyDescent="0.35">
      <c r="A12" s="48">
        <v>10</v>
      </c>
      <c r="B12" s="6" t="s">
        <v>74</v>
      </c>
      <c r="C12" s="20">
        <v>11808</v>
      </c>
      <c r="D12" s="20">
        <v>6025</v>
      </c>
      <c r="E12" s="21">
        <v>0.51019999999999999</v>
      </c>
      <c r="F12" s="22">
        <v>-2.5700000000000001E-2</v>
      </c>
      <c r="G12" s="56" t="s">
        <v>203</v>
      </c>
      <c r="H12" s="22">
        <v>-0.1222</v>
      </c>
      <c r="I12" s="51" t="s">
        <v>153</v>
      </c>
      <c r="J12" s="52" t="s">
        <v>236</v>
      </c>
      <c r="K12" s="7" t="s">
        <v>152</v>
      </c>
      <c r="L12" s="53" t="s">
        <v>205</v>
      </c>
      <c r="M12" s="53" t="s">
        <v>206</v>
      </c>
      <c r="N12" s="54">
        <f>11808*1.3</f>
        <v>15350.4</v>
      </c>
      <c r="O12" s="54">
        <f>6025*1.3</f>
        <v>7832.5</v>
      </c>
      <c r="P12" s="57" t="s">
        <v>215</v>
      </c>
      <c r="Q12" s="6" t="s">
        <v>220</v>
      </c>
      <c r="R12" s="52" t="s">
        <v>237</v>
      </c>
    </row>
    <row r="13" spans="1:18" ht="42" customHeight="1" x14ac:dyDescent="0.35">
      <c r="A13" s="80">
        <v>11</v>
      </c>
      <c r="B13" s="12" t="s">
        <v>76</v>
      </c>
      <c r="C13" s="81">
        <v>11583</v>
      </c>
      <c r="D13" s="81">
        <v>5511</v>
      </c>
      <c r="E13" s="82">
        <v>0.47599999999999998</v>
      </c>
      <c r="F13" s="83" t="s">
        <v>32</v>
      </c>
      <c r="G13" s="84" t="s">
        <v>238</v>
      </c>
      <c r="H13" s="83" t="s">
        <v>32</v>
      </c>
      <c r="I13" s="85" t="s">
        <v>239</v>
      </c>
      <c r="J13" s="86" t="s">
        <v>240</v>
      </c>
      <c r="K13" s="13" t="s">
        <v>175</v>
      </c>
      <c r="L13" s="83" t="s">
        <v>205</v>
      </c>
      <c r="M13" s="83" t="s">
        <v>206</v>
      </c>
      <c r="N13" s="87">
        <f>11583*1.25</f>
        <v>14478.75</v>
      </c>
      <c r="O13" s="87">
        <f>5511*1.25</f>
        <v>6888.75</v>
      </c>
      <c r="P13" s="88" t="s">
        <v>215</v>
      </c>
      <c r="Q13" s="12" t="s">
        <v>241</v>
      </c>
      <c r="R13" s="86" t="s">
        <v>242</v>
      </c>
    </row>
    <row r="14" spans="1:18" ht="42" customHeight="1" x14ac:dyDescent="0.35">
      <c r="A14" s="48">
        <v>12</v>
      </c>
      <c r="B14" s="6" t="s">
        <v>79</v>
      </c>
      <c r="C14" s="20">
        <v>9314</v>
      </c>
      <c r="D14" s="20">
        <v>8647</v>
      </c>
      <c r="E14" s="21">
        <v>0.92830000000000001</v>
      </c>
      <c r="F14" s="22">
        <v>-1.9099999999999999E-2</v>
      </c>
      <c r="G14" s="56" t="s">
        <v>203</v>
      </c>
      <c r="H14" s="22">
        <v>-1.14E-2</v>
      </c>
      <c r="I14" s="51" t="s">
        <v>153</v>
      </c>
      <c r="J14" s="52" t="s">
        <v>243</v>
      </c>
      <c r="K14" s="7" t="s">
        <v>152</v>
      </c>
      <c r="L14" s="53" t="s">
        <v>205</v>
      </c>
      <c r="M14" s="53" t="s">
        <v>206</v>
      </c>
      <c r="N14" s="54">
        <f>9314*1.3</f>
        <v>12108.2</v>
      </c>
      <c r="O14" s="54">
        <f>8647*1.3</f>
        <v>11241.1</v>
      </c>
      <c r="P14" s="57" t="s">
        <v>215</v>
      </c>
      <c r="Q14" s="6" t="s">
        <v>244</v>
      </c>
      <c r="R14" s="52" t="s">
        <v>245</v>
      </c>
    </row>
    <row r="15" spans="1:18" ht="42" customHeight="1" x14ac:dyDescent="0.35">
      <c r="A15" s="69">
        <v>13</v>
      </c>
      <c r="B15" s="70" t="s">
        <v>80</v>
      </c>
      <c r="C15" s="71">
        <v>7840</v>
      </c>
      <c r="D15" s="71">
        <v>7840</v>
      </c>
      <c r="E15" s="72">
        <v>1</v>
      </c>
      <c r="F15" s="73">
        <v>1.7927</v>
      </c>
      <c r="G15" s="74" t="s">
        <v>210</v>
      </c>
      <c r="H15" s="73">
        <v>1.7927</v>
      </c>
      <c r="I15" s="70" t="s">
        <v>141</v>
      </c>
      <c r="J15" s="75" t="s">
        <v>246</v>
      </c>
      <c r="K15" s="76" t="s">
        <v>146</v>
      </c>
      <c r="L15" s="77" t="s">
        <v>205</v>
      </c>
      <c r="M15" s="77" t="s">
        <v>206</v>
      </c>
      <c r="N15" s="78">
        <f>7840*1.2</f>
        <v>9408</v>
      </c>
      <c r="O15" s="78">
        <f>7840*1.2</f>
        <v>9408</v>
      </c>
      <c r="P15" s="76" t="s">
        <v>219</v>
      </c>
      <c r="Q15" s="79" t="s">
        <v>247</v>
      </c>
      <c r="R15" s="75" t="s">
        <v>248</v>
      </c>
    </row>
    <row r="16" spans="1:18" ht="42" customHeight="1" x14ac:dyDescent="0.35">
      <c r="A16" s="41">
        <v>14</v>
      </c>
      <c r="B16" s="8" t="s">
        <v>81</v>
      </c>
      <c r="C16" s="14">
        <v>7397</v>
      </c>
      <c r="D16" s="14">
        <v>6663</v>
      </c>
      <c r="E16" s="15">
        <v>0.90080000000000005</v>
      </c>
      <c r="F16" s="16">
        <v>-0.39279999999999998</v>
      </c>
      <c r="G16" s="42" t="s">
        <v>203</v>
      </c>
      <c r="H16" s="16">
        <v>-0.44579999999999997</v>
      </c>
      <c r="I16" s="43" t="s">
        <v>158</v>
      </c>
      <c r="J16" s="44" t="s">
        <v>249</v>
      </c>
      <c r="K16" s="9" t="s">
        <v>163</v>
      </c>
      <c r="L16" s="45" t="s">
        <v>205</v>
      </c>
      <c r="M16" s="45" t="s">
        <v>206</v>
      </c>
      <c r="N16" s="46">
        <f>7397*1.3</f>
        <v>9616.1</v>
      </c>
      <c r="O16" s="46">
        <f>6663*1.3</f>
        <v>8661.9</v>
      </c>
      <c r="P16" s="47" t="s">
        <v>207</v>
      </c>
      <c r="Q16" s="8" t="s">
        <v>250</v>
      </c>
      <c r="R16" s="44" t="s">
        <v>251</v>
      </c>
    </row>
    <row r="17" spans="1:18" ht="42" customHeight="1" x14ac:dyDescent="0.35">
      <c r="A17" s="48">
        <v>15</v>
      </c>
      <c r="B17" s="6" t="s">
        <v>82</v>
      </c>
      <c r="C17" s="20">
        <v>6916</v>
      </c>
      <c r="D17" s="20">
        <v>4997</v>
      </c>
      <c r="E17" s="21">
        <v>0.72230000000000005</v>
      </c>
      <c r="F17" s="22">
        <v>-0.1946</v>
      </c>
      <c r="G17" s="56" t="s">
        <v>203</v>
      </c>
      <c r="H17" s="22">
        <v>-0.28620000000000001</v>
      </c>
      <c r="I17" s="51" t="s">
        <v>153</v>
      </c>
      <c r="J17" s="52" t="s">
        <v>252</v>
      </c>
      <c r="K17" s="7" t="s">
        <v>152</v>
      </c>
      <c r="L17" s="53" t="s">
        <v>205</v>
      </c>
      <c r="M17" s="53" t="s">
        <v>206</v>
      </c>
      <c r="N17" s="54">
        <f>6916*1.3</f>
        <v>8990.8000000000011</v>
      </c>
      <c r="O17" s="54">
        <f>4997*1.3</f>
        <v>6496.1</v>
      </c>
      <c r="P17" s="57" t="s">
        <v>215</v>
      </c>
      <c r="Q17" s="6" t="s">
        <v>253</v>
      </c>
      <c r="R17" s="52" t="s">
        <v>254</v>
      </c>
    </row>
    <row r="18" spans="1:18" ht="42" customHeight="1" x14ac:dyDescent="0.35">
      <c r="A18" s="48">
        <v>16</v>
      </c>
      <c r="B18" s="6" t="s">
        <v>83</v>
      </c>
      <c r="C18" s="20">
        <v>6742</v>
      </c>
      <c r="D18" s="20">
        <v>6742</v>
      </c>
      <c r="E18" s="21">
        <v>1</v>
      </c>
      <c r="F18" s="22">
        <v>-9.7000000000000003E-3</v>
      </c>
      <c r="G18" s="56" t="s">
        <v>203</v>
      </c>
      <c r="H18" s="22">
        <v>-1.32E-2</v>
      </c>
      <c r="I18" s="51" t="s">
        <v>153</v>
      </c>
      <c r="J18" s="52" t="s">
        <v>255</v>
      </c>
      <c r="K18" s="7" t="s">
        <v>152</v>
      </c>
      <c r="L18" s="53" t="s">
        <v>205</v>
      </c>
      <c r="M18" s="53" t="s">
        <v>206</v>
      </c>
      <c r="N18" s="54">
        <f>6742*1.3</f>
        <v>8764.6</v>
      </c>
      <c r="O18" s="54">
        <f>6742*1.3</f>
        <v>8764.6</v>
      </c>
      <c r="P18" s="57" t="s">
        <v>215</v>
      </c>
      <c r="Q18" s="6" t="s">
        <v>216</v>
      </c>
      <c r="R18" s="52" t="s">
        <v>256</v>
      </c>
    </row>
    <row r="19" spans="1:18" ht="42" customHeight="1" x14ac:dyDescent="0.35">
      <c r="A19" s="41">
        <v>17</v>
      </c>
      <c r="B19" s="8" t="s">
        <v>87</v>
      </c>
      <c r="C19" s="14">
        <v>5597</v>
      </c>
      <c r="D19" s="14">
        <v>5597</v>
      </c>
      <c r="E19" s="15">
        <v>1</v>
      </c>
      <c r="F19" s="16">
        <v>-0.33539999999999998</v>
      </c>
      <c r="G19" s="42" t="s">
        <v>203</v>
      </c>
      <c r="H19" s="16">
        <v>-0.33539999999999998</v>
      </c>
      <c r="I19" s="43" t="s">
        <v>158</v>
      </c>
      <c r="J19" s="44" t="s">
        <v>257</v>
      </c>
      <c r="K19" s="9" t="s">
        <v>163</v>
      </c>
      <c r="L19" s="45" t="s">
        <v>205</v>
      </c>
      <c r="M19" s="45" t="s">
        <v>206</v>
      </c>
      <c r="N19" s="46">
        <f>5597*1.3</f>
        <v>7276.1</v>
      </c>
      <c r="O19" s="46">
        <f>5597*1.3</f>
        <v>7276.1</v>
      </c>
      <c r="P19" s="47" t="s">
        <v>207</v>
      </c>
      <c r="Q19" s="8" t="s">
        <v>258</v>
      </c>
      <c r="R19" s="44" t="s">
        <v>259</v>
      </c>
    </row>
    <row r="20" spans="1:18" ht="42" customHeight="1" x14ac:dyDescent="0.35">
      <c r="A20" s="48">
        <v>18</v>
      </c>
      <c r="B20" s="6" t="s">
        <v>88</v>
      </c>
      <c r="C20" s="20">
        <v>4632</v>
      </c>
      <c r="D20" s="20">
        <v>2859</v>
      </c>
      <c r="E20" s="21">
        <v>0.6169</v>
      </c>
      <c r="F20" s="22">
        <v>-0.13109999999999999</v>
      </c>
      <c r="G20" s="56" t="s">
        <v>203</v>
      </c>
      <c r="H20" s="22">
        <v>-0.1636</v>
      </c>
      <c r="I20" s="51" t="s">
        <v>153</v>
      </c>
      <c r="J20" s="52" t="s">
        <v>260</v>
      </c>
      <c r="K20" s="7" t="s">
        <v>152</v>
      </c>
      <c r="L20" s="53" t="s">
        <v>205</v>
      </c>
      <c r="M20" s="53" t="s">
        <v>206</v>
      </c>
      <c r="N20" s="54">
        <f>4632*1.3</f>
        <v>6021.6</v>
      </c>
      <c r="O20" s="54">
        <f>2859*1.3</f>
        <v>3716.7000000000003</v>
      </c>
      <c r="P20" s="57" t="s">
        <v>215</v>
      </c>
      <c r="Q20" s="6" t="s">
        <v>212</v>
      </c>
      <c r="R20" s="52" t="s">
        <v>261</v>
      </c>
    </row>
    <row r="21" spans="1:18" ht="42" customHeight="1" x14ac:dyDescent="0.35">
      <c r="A21" s="48">
        <v>19</v>
      </c>
      <c r="B21" s="6" t="s">
        <v>89</v>
      </c>
      <c r="C21" s="20">
        <v>3686</v>
      </c>
      <c r="D21" s="20">
        <v>3676</v>
      </c>
      <c r="E21" s="21">
        <v>0.99739999999999995</v>
      </c>
      <c r="F21" s="22">
        <v>-0.1779</v>
      </c>
      <c r="G21" s="56" t="s">
        <v>203</v>
      </c>
      <c r="H21" s="22">
        <v>-0.1736</v>
      </c>
      <c r="I21" s="51" t="s">
        <v>153</v>
      </c>
      <c r="J21" s="52" t="s">
        <v>262</v>
      </c>
      <c r="K21" s="7" t="s">
        <v>152</v>
      </c>
      <c r="L21" s="53" t="s">
        <v>205</v>
      </c>
      <c r="M21" s="53" t="s">
        <v>206</v>
      </c>
      <c r="N21" s="54">
        <f>3686*1.3</f>
        <v>4791.8</v>
      </c>
      <c r="O21" s="54">
        <f>3676*1.3</f>
        <v>4778.8</v>
      </c>
      <c r="P21" s="57" t="s">
        <v>215</v>
      </c>
      <c r="Q21" s="6" t="s">
        <v>263</v>
      </c>
      <c r="R21" s="52" t="s">
        <v>264</v>
      </c>
    </row>
    <row r="22" spans="1:18" ht="42" customHeight="1" x14ac:dyDescent="0.35">
      <c r="A22" s="80">
        <v>20</v>
      </c>
      <c r="B22" s="12" t="s">
        <v>265</v>
      </c>
      <c r="C22" s="81">
        <v>0</v>
      </c>
      <c r="D22" s="81">
        <v>0</v>
      </c>
      <c r="E22" s="82"/>
      <c r="F22" s="83" t="s">
        <v>32</v>
      </c>
      <c r="G22" s="84" t="s">
        <v>238</v>
      </c>
      <c r="H22" s="83" t="s">
        <v>32</v>
      </c>
      <c r="I22" s="85" t="s">
        <v>239</v>
      </c>
      <c r="J22" s="86" t="s">
        <v>266</v>
      </c>
      <c r="K22" s="13" t="s">
        <v>175</v>
      </c>
      <c r="L22" s="83" t="s">
        <v>205</v>
      </c>
      <c r="M22" s="83" t="s">
        <v>206</v>
      </c>
      <c r="N22" s="89" t="s">
        <v>205</v>
      </c>
      <c r="O22" s="89" t="s">
        <v>205</v>
      </c>
      <c r="P22" s="88" t="s">
        <v>215</v>
      </c>
      <c r="Q22" s="12" t="s">
        <v>267</v>
      </c>
      <c r="R22" s="86" t="s">
        <v>268</v>
      </c>
    </row>
    <row r="23" spans="1:18" ht="21.75" customHeight="1" x14ac:dyDescent="0.35">
      <c r="A23" s="210" t="s">
        <v>269</v>
      </c>
      <c r="B23" s="207"/>
      <c r="C23" s="90">
        <f>SUM(C3:C22)</f>
        <v>238407</v>
      </c>
      <c r="D23" s="90">
        <f>SUM(D3:D22)</f>
        <v>178508</v>
      </c>
      <c r="E23" s="91">
        <f>IFERROR(D23/C23,"")</f>
        <v>0.74875318258272616</v>
      </c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</row>
  </sheetData>
  <mergeCells count="2">
    <mergeCell ref="A1:R1"/>
    <mergeCell ref="A23:B2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L11"/>
  <sheetViews>
    <sheetView showGridLines="0" zoomScaleNormal="100" workbookViewId="0"/>
  </sheetViews>
  <sheetFormatPr defaultColWidth="8.6328125" defaultRowHeight="14.5" x14ac:dyDescent="0.35"/>
  <cols>
    <col min="1" max="1" width="16" customWidth="1"/>
    <col min="2" max="2" width="26" customWidth="1"/>
    <col min="3" max="3" width="52" customWidth="1"/>
    <col min="4" max="4" width="40" customWidth="1"/>
    <col min="5" max="6" width="10" customWidth="1"/>
    <col min="7" max="7" width="36" customWidth="1"/>
    <col min="8" max="8" width="18" customWidth="1"/>
    <col min="9" max="9" width="14" customWidth="1"/>
    <col min="10" max="10" width="48" customWidth="1"/>
    <col min="11" max="11" width="12" customWidth="1"/>
    <col min="12" max="12" width="10" customWidth="1"/>
  </cols>
  <sheetData>
    <row r="1" spans="1:12" ht="39.75" customHeight="1" x14ac:dyDescent="0.35">
      <c r="A1" s="211" t="s">
        <v>270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</row>
    <row r="2" spans="1:12" ht="13.5" customHeight="1" x14ac:dyDescent="0.35"/>
    <row r="3" spans="1:12" ht="15" customHeight="1" x14ac:dyDescent="0.35">
      <c r="A3" s="228" t="s">
        <v>271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</row>
    <row r="4" spans="1:12" ht="30" customHeight="1" x14ac:dyDescent="0.35">
      <c r="A4" s="40" t="s">
        <v>200</v>
      </c>
      <c r="B4" s="40" t="s">
        <v>272</v>
      </c>
      <c r="C4" s="40" t="s">
        <v>273</v>
      </c>
      <c r="D4" s="40" t="s">
        <v>274</v>
      </c>
      <c r="E4" s="40" t="s">
        <v>275</v>
      </c>
      <c r="F4" s="40" t="s">
        <v>140</v>
      </c>
      <c r="G4" s="40" t="s">
        <v>276</v>
      </c>
      <c r="H4" s="40" t="s">
        <v>277</v>
      </c>
      <c r="I4" s="40" t="s">
        <v>181</v>
      </c>
      <c r="J4" s="40" t="s">
        <v>278</v>
      </c>
      <c r="K4" s="40" t="s">
        <v>279</v>
      </c>
      <c r="L4" s="40" t="s">
        <v>280</v>
      </c>
    </row>
    <row r="5" spans="1:12" ht="55.5" customHeight="1" x14ac:dyDescent="0.35">
      <c r="A5" s="93" t="s">
        <v>281</v>
      </c>
      <c r="B5" s="94" t="s">
        <v>66</v>
      </c>
      <c r="C5" s="94" t="s">
        <v>282</v>
      </c>
      <c r="D5" s="94" t="s">
        <v>283</v>
      </c>
      <c r="E5" s="95" t="s">
        <v>284</v>
      </c>
      <c r="F5" s="95" t="s">
        <v>169</v>
      </c>
      <c r="G5" s="94" t="s">
        <v>285</v>
      </c>
      <c r="H5" s="94" t="s">
        <v>286</v>
      </c>
      <c r="I5" s="95" t="s">
        <v>287</v>
      </c>
      <c r="J5" s="94" t="s">
        <v>288</v>
      </c>
      <c r="K5" s="96">
        <v>9700</v>
      </c>
      <c r="L5" s="97">
        <v>5.3999999999999999E-2</v>
      </c>
    </row>
    <row r="6" spans="1:12" ht="55.5" customHeight="1" x14ac:dyDescent="0.35">
      <c r="A6" s="93" t="s">
        <v>281</v>
      </c>
      <c r="B6" s="94" t="s">
        <v>289</v>
      </c>
      <c r="C6" s="94" t="s">
        <v>290</v>
      </c>
      <c r="D6" s="94" t="s">
        <v>291</v>
      </c>
      <c r="E6" s="95" t="s">
        <v>292</v>
      </c>
      <c r="F6" s="95" t="s">
        <v>146</v>
      </c>
      <c r="G6" s="94" t="s">
        <v>293</v>
      </c>
      <c r="H6" s="94" t="s">
        <v>294</v>
      </c>
      <c r="I6" s="95" t="s">
        <v>287</v>
      </c>
      <c r="J6" s="94" t="s">
        <v>295</v>
      </c>
      <c r="K6" s="96">
        <v>12000</v>
      </c>
      <c r="L6" s="97">
        <v>0.05</v>
      </c>
    </row>
    <row r="7" spans="1:12" ht="55.5" customHeight="1" x14ac:dyDescent="0.35">
      <c r="A7" s="98" t="s">
        <v>296</v>
      </c>
      <c r="B7" s="99" t="s">
        <v>297</v>
      </c>
      <c r="C7" s="99" t="s">
        <v>298</v>
      </c>
      <c r="D7" s="99" t="s">
        <v>299</v>
      </c>
      <c r="E7" s="100" t="s">
        <v>284</v>
      </c>
      <c r="F7" s="100" t="s">
        <v>163</v>
      </c>
      <c r="G7" s="99" t="s">
        <v>300</v>
      </c>
      <c r="H7" s="99" t="s">
        <v>301</v>
      </c>
      <c r="I7" s="100" t="s">
        <v>287</v>
      </c>
      <c r="J7" s="99" t="s">
        <v>302</v>
      </c>
      <c r="K7" s="101">
        <v>11600</v>
      </c>
      <c r="L7" s="102">
        <v>4.9000000000000002E-2</v>
      </c>
    </row>
    <row r="8" spans="1:12" ht="55.5" customHeight="1" x14ac:dyDescent="0.35">
      <c r="A8" s="103" t="s">
        <v>303</v>
      </c>
      <c r="B8" s="104" t="s">
        <v>304</v>
      </c>
      <c r="C8" s="104" t="s">
        <v>305</v>
      </c>
      <c r="D8" s="104" t="s">
        <v>306</v>
      </c>
      <c r="E8" s="105" t="s">
        <v>292</v>
      </c>
      <c r="F8" s="105" t="s">
        <v>152</v>
      </c>
      <c r="G8" s="104" t="s">
        <v>307</v>
      </c>
      <c r="H8" s="104" t="s">
        <v>308</v>
      </c>
      <c r="I8" s="105" t="s">
        <v>309</v>
      </c>
      <c r="J8" s="104" t="s">
        <v>310</v>
      </c>
      <c r="K8" s="106">
        <v>8000</v>
      </c>
      <c r="L8" s="107">
        <v>3.4000000000000002E-2</v>
      </c>
    </row>
    <row r="9" spans="1:12" ht="55.5" customHeight="1" x14ac:dyDescent="0.35">
      <c r="A9" s="108" t="s">
        <v>311</v>
      </c>
      <c r="B9" s="109" t="s">
        <v>312</v>
      </c>
      <c r="C9" s="109" t="s">
        <v>313</v>
      </c>
      <c r="D9" s="109" t="s">
        <v>314</v>
      </c>
      <c r="E9" s="110" t="s">
        <v>292</v>
      </c>
      <c r="F9" s="110" t="s">
        <v>152</v>
      </c>
      <c r="G9" s="109" t="s">
        <v>315</v>
      </c>
      <c r="H9" s="109" t="s">
        <v>308</v>
      </c>
      <c r="I9" s="110" t="s">
        <v>316</v>
      </c>
      <c r="J9" s="109" t="s">
        <v>317</v>
      </c>
      <c r="K9" s="111">
        <v>13500</v>
      </c>
      <c r="L9" s="112">
        <v>5.7000000000000002E-2</v>
      </c>
    </row>
    <row r="10" spans="1:12" ht="55.5" customHeight="1" x14ac:dyDescent="0.35">
      <c r="A10" s="113" t="s">
        <v>318</v>
      </c>
      <c r="B10" s="114" t="s">
        <v>319</v>
      </c>
      <c r="C10" s="114" t="s">
        <v>320</v>
      </c>
      <c r="D10" s="114" t="s">
        <v>321</v>
      </c>
      <c r="E10" s="115" t="s">
        <v>322</v>
      </c>
      <c r="F10" s="115" t="s">
        <v>175</v>
      </c>
      <c r="G10" s="114" t="s">
        <v>323</v>
      </c>
      <c r="H10" s="114" t="s">
        <v>324</v>
      </c>
      <c r="I10" s="115" t="s">
        <v>316</v>
      </c>
      <c r="J10" s="114" t="s">
        <v>325</v>
      </c>
      <c r="K10" s="116">
        <v>10000</v>
      </c>
      <c r="L10" s="117">
        <v>4.2000000000000003E-2</v>
      </c>
    </row>
    <row r="11" spans="1:12" ht="55.5" customHeight="1" x14ac:dyDescent="0.35">
      <c r="A11" s="118" t="s">
        <v>326</v>
      </c>
      <c r="B11" s="119" t="s">
        <v>327</v>
      </c>
      <c r="C11" s="119" t="s">
        <v>328</v>
      </c>
      <c r="D11" s="119" t="s">
        <v>329</v>
      </c>
      <c r="E11" s="120" t="s">
        <v>322</v>
      </c>
      <c r="F11" s="120" t="s">
        <v>152</v>
      </c>
      <c r="G11" s="119" t="s">
        <v>330</v>
      </c>
      <c r="H11" s="119" t="s">
        <v>331</v>
      </c>
      <c r="I11" s="120" t="s">
        <v>316</v>
      </c>
      <c r="J11" s="119" t="s">
        <v>332</v>
      </c>
      <c r="K11" s="120"/>
      <c r="L11" s="121">
        <v>0</v>
      </c>
    </row>
  </sheetData>
  <mergeCells count="2">
    <mergeCell ref="A3:L3"/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A3E0"/>
  </sheetPr>
  <dimension ref="A1:T24"/>
  <sheetViews>
    <sheetView showGridLines="0" zoomScaleNormal="100" workbookViewId="0"/>
  </sheetViews>
  <sheetFormatPr defaultColWidth="8.6328125" defaultRowHeight="14.5" x14ac:dyDescent="0.35"/>
  <cols>
    <col min="1" max="1" width="28" customWidth="1"/>
    <col min="2" max="3" width="14" customWidth="1"/>
    <col min="4" max="4" width="3" customWidth="1"/>
    <col min="5" max="5" width="24" customWidth="1"/>
    <col min="6" max="6" width="10" customWidth="1"/>
    <col min="7" max="7" width="3" customWidth="1"/>
    <col min="8" max="8" width="26" customWidth="1"/>
    <col min="9" max="9" width="10" customWidth="1"/>
    <col min="10" max="10" width="3" customWidth="1"/>
    <col min="11" max="11" width="28" customWidth="1"/>
    <col min="12" max="12" width="8" customWidth="1"/>
    <col min="13" max="13" width="12" customWidth="1"/>
  </cols>
  <sheetData>
    <row r="1" spans="1:20" ht="39.75" customHeight="1" x14ac:dyDescent="0.35">
      <c r="A1" s="211" t="s">
        <v>333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</row>
    <row r="3" spans="1:20" ht="15" customHeight="1" x14ac:dyDescent="0.35">
      <c r="A3" s="209" t="s">
        <v>334</v>
      </c>
      <c r="B3" s="207"/>
      <c r="C3" s="207"/>
      <c r="E3" s="209" t="s">
        <v>335</v>
      </c>
      <c r="F3" s="207"/>
      <c r="H3" s="209" t="s">
        <v>336</v>
      </c>
      <c r="I3" s="207"/>
      <c r="K3" s="209" t="s">
        <v>337</v>
      </c>
      <c r="L3" s="207"/>
      <c r="M3" s="207"/>
    </row>
    <row r="4" spans="1:20" ht="21.75" customHeight="1" x14ac:dyDescent="0.35">
      <c r="A4" s="122" t="s">
        <v>10</v>
      </c>
      <c r="B4" s="122" t="s">
        <v>177</v>
      </c>
      <c r="C4" s="122" t="s">
        <v>338</v>
      </c>
      <c r="E4" s="122" t="s">
        <v>10</v>
      </c>
      <c r="F4" s="122" t="s">
        <v>17</v>
      </c>
      <c r="H4" s="122" t="s">
        <v>10</v>
      </c>
      <c r="I4" s="122" t="s">
        <v>339</v>
      </c>
      <c r="K4" s="122" t="s">
        <v>137</v>
      </c>
      <c r="L4" s="122" t="s">
        <v>340</v>
      </c>
      <c r="M4" s="122" t="s">
        <v>341</v>
      </c>
    </row>
    <row r="5" spans="1:20" ht="15" customHeight="1" x14ac:dyDescent="0.35">
      <c r="A5" s="123" t="s">
        <v>61</v>
      </c>
      <c r="B5" s="124">
        <v>26062</v>
      </c>
      <c r="C5" s="124">
        <v>15637</v>
      </c>
      <c r="E5" s="123" t="s">
        <v>61</v>
      </c>
      <c r="F5" s="125">
        <v>0.59930000000000005</v>
      </c>
      <c r="H5" s="123" t="s">
        <v>80</v>
      </c>
      <c r="I5" s="126">
        <v>1.7927</v>
      </c>
      <c r="K5" s="123" t="s">
        <v>141</v>
      </c>
      <c r="L5">
        <v>2</v>
      </c>
      <c r="M5" s="124">
        <v>20247</v>
      </c>
    </row>
    <row r="6" spans="1:20" ht="15" customHeight="1" x14ac:dyDescent="0.35">
      <c r="A6" s="123" t="s">
        <v>64</v>
      </c>
      <c r="B6" s="124">
        <v>23739</v>
      </c>
      <c r="C6" s="124">
        <v>18719</v>
      </c>
      <c r="E6" s="123" t="s">
        <v>64</v>
      </c>
      <c r="F6" s="125">
        <v>0.78869999999999996</v>
      </c>
      <c r="H6" s="123" t="s">
        <v>72</v>
      </c>
      <c r="I6" s="126">
        <v>0.26329999999999998</v>
      </c>
      <c r="K6" s="123" t="s">
        <v>147</v>
      </c>
      <c r="L6">
        <v>3</v>
      </c>
      <c r="M6" s="124">
        <v>53580</v>
      </c>
    </row>
    <row r="7" spans="1:20" ht="15" customHeight="1" x14ac:dyDescent="0.35">
      <c r="A7" s="123" t="s">
        <v>65</v>
      </c>
      <c r="B7" s="124">
        <v>20714</v>
      </c>
      <c r="C7" s="124">
        <v>17228</v>
      </c>
      <c r="E7" s="123" t="s">
        <v>65</v>
      </c>
      <c r="F7" s="125">
        <v>0.83220000000000005</v>
      </c>
      <c r="H7" s="123" t="s">
        <v>70</v>
      </c>
      <c r="I7" s="126">
        <v>0.3049</v>
      </c>
      <c r="K7" s="123" t="s">
        <v>153</v>
      </c>
      <c r="L7">
        <v>7</v>
      </c>
      <c r="M7" s="124">
        <v>65809</v>
      </c>
    </row>
    <row r="8" spans="1:20" ht="15" customHeight="1" x14ac:dyDescent="0.35">
      <c r="A8" s="123" t="s">
        <v>66</v>
      </c>
      <c r="B8" s="124">
        <v>20526</v>
      </c>
      <c r="C8" s="124">
        <v>19047</v>
      </c>
      <c r="E8" s="123" t="s">
        <v>66</v>
      </c>
      <c r="F8" s="125">
        <v>0.92720000000000002</v>
      </c>
      <c r="H8" s="123" t="s">
        <v>67</v>
      </c>
      <c r="I8" s="126">
        <v>0.31340000000000001</v>
      </c>
      <c r="K8" s="123" t="s">
        <v>158</v>
      </c>
      <c r="L8">
        <v>3</v>
      </c>
      <c r="M8" s="124">
        <v>39056</v>
      </c>
    </row>
    <row r="9" spans="1:20" ht="15" customHeight="1" x14ac:dyDescent="0.35">
      <c r="A9" s="123" t="s">
        <v>67</v>
      </c>
      <c r="B9" s="124">
        <v>15619</v>
      </c>
      <c r="C9" s="124">
        <v>5098</v>
      </c>
      <c r="E9" s="123" t="s">
        <v>67</v>
      </c>
      <c r="F9" s="125">
        <v>0.32569999999999999</v>
      </c>
      <c r="H9" s="123" t="s">
        <v>64</v>
      </c>
      <c r="I9" s="126">
        <v>2.6499999999999999E-2</v>
      </c>
      <c r="K9" s="123" t="s">
        <v>183</v>
      </c>
      <c r="L9">
        <v>1</v>
      </c>
      <c r="M9" s="124">
        <v>20526</v>
      </c>
    </row>
    <row r="10" spans="1:20" ht="15" customHeight="1" x14ac:dyDescent="0.35">
      <c r="A10" s="123" t="s">
        <v>68</v>
      </c>
      <c r="B10" s="124">
        <v>15608</v>
      </c>
      <c r="C10" s="124">
        <v>14092</v>
      </c>
      <c r="E10" s="123" t="s">
        <v>68</v>
      </c>
      <c r="F10" s="125">
        <v>0.90190000000000003</v>
      </c>
      <c r="H10" s="123" t="s">
        <v>68</v>
      </c>
      <c r="I10" s="127">
        <v>-3.8999999999999998E-3</v>
      </c>
      <c r="K10" s="123" t="s">
        <v>170</v>
      </c>
      <c r="L10">
        <v>2</v>
      </c>
      <c r="M10" s="124">
        <v>11583</v>
      </c>
    </row>
    <row r="11" spans="1:20" ht="15" customHeight="1" x14ac:dyDescent="0.35">
      <c r="A11" s="123" t="s">
        <v>70</v>
      </c>
      <c r="B11" s="124">
        <v>14222</v>
      </c>
      <c r="C11" s="124">
        <v>5573</v>
      </c>
      <c r="E11" s="123" t="s">
        <v>70</v>
      </c>
      <c r="F11" s="125">
        <v>0.39219999999999999</v>
      </c>
      <c r="H11" s="123" t="s">
        <v>74</v>
      </c>
      <c r="I11" s="127">
        <v>-2.5700000000000001E-2</v>
      </c>
    </row>
    <row r="12" spans="1:20" ht="15" customHeight="1" x14ac:dyDescent="0.35">
      <c r="A12" s="123" t="s">
        <v>71</v>
      </c>
      <c r="B12" s="124">
        <v>13995</v>
      </c>
      <c r="C12" s="124">
        <v>13664</v>
      </c>
      <c r="E12" s="123" t="s">
        <v>71</v>
      </c>
      <c r="F12" s="125">
        <v>0.97640000000000005</v>
      </c>
      <c r="H12" s="123" t="s">
        <v>79</v>
      </c>
      <c r="I12" s="127">
        <v>-1.9099999999999999E-2</v>
      </c>
    </row>
    <row r="13" spans="1:20" ht="15" customHeight="1" x14ac:dyDescent="0.35">
      <c r="A13" s="123" t="s">
        <v>72</v>
      </c>
      <c r="B13" s="124">
        <v>12407</v>
      </c>
      <c r="C13" s="124">
        <v>10893</v>
      </c>
      <c r="E13" s="123" t="s">
        <v>72</v>
      </c>
      <c r="F13" s="125">
        <v>0.87770000000000004</v>
      </c>
      <c r="H13" s="123" t="s">
        <v>83</v>
      </c>
      <c r="I13" s="127">
        <v>-9.7000000000000003E-3</v>
      </c>
    </row>
    <row r="14" spans="1:20" ht="15" customHeight="1" x14ac:dyDescent="0.35">
      <c r="A14" s="123" t="s">
        <v>74</v>
      </c>
      <c r="B14" s="124">
        <v>11808</v>
      </c>
      <c r="C14" s="124">
        <v>6025</v>
      </c>
      <c r="E14" s="123" t="s">
        <v>74</v>
      </c>
      <c r="F14" s="125">
        <v>0.51019999999999999</v>
      </c>
      <c r="H14" s="123" t="s">
        <v>71</v>
      </c>
      <c r="I14" s="127">
        <v>-1.9E-2</v>
      </c>
    </row>
    <row r="15" spans="1:20" ht="15" customHeight="1" x14ac:dyDescent="0.35">
      <c r="A15" s="123" t="s">
        <v>76</v>
      </c>
      <c r="B15" s="124">
        <v>11583</v>
      </c>
      <c r="C15" s="124">
        <v>5511</v>
      </c>
      <c r="E15" s="123" t="s">
        <v>76</v>
      </c>
      <c r="F15" s="125">
        <v>0.47599999999999998</v>
      </c>
      <c r="H15" s="123" t="s">
        <v>88</v>
      </c>
      <c r="I15" s="127">
        <v>-0.13109999999999999</v>
      </c>
    </row>
    <row r="16" spans="1:20" ht="15" customHeight="1" x14ac:dyDescent="0.35">
      <c r="A16" s="123" t="s">
        <v>79</v>
      </c>
      <c r="B16" s="124">
        <v>9314</v>
      </c>
      <c r="C16" s="124">
        <v>8647</v>
      </c>
      <c r="E16" s="123" t="s">
        <v>79</v>
      </c>
      <c r="F16" s="125">
        <v>0.92830000000000001</v>
      </c>
      <c r="H16" s="123" t="s">
        <v>89</v>
      </c>
      <c r="I16" s="127">
        <v>-0.1779</v>
      </c>
    </row>
    <row r="17" spans="1:9" ht="15" customHeight="1" x14ac:dyDescent="0.35">
      <c r="A17" s="123" t="s">
        <v>80</v>
      </c>
      <c r="B17" s="124">
        <v>7840</v>
      </c>
      <c r="C17" s="124">
        <v>7840</v>
      </c>
      <c r="E17" s="123" t="s">
        <v>80</v>
      </c>
      <c r="F17" s="125">
        <v>1</v>
      </c>
      <c r="H17" s="123" t="s">
        <v>65</v>
      </c>
      <c r="I17" s="127">
        <v>-0.1928</v>
      </c>
    </row>
    <row r="18" spans="1:9" ht="15" customHeight="1" x14ac:dyDescent="0.35">
      <c r="A18" s="123" t="s">
        <v>81</v>
      </c>
      <c r="B18" s="124">
        <v>7397</v>
      </c>
      <c r="C18" s="124">
        <v>6663</v>
      </c>
      <c r="E18" s="123" t="s">
        <v>81</v>
      </c>
      <c r="F18" s="125">
        <v>0.90080000000000005</v>
      </c>
      <c r="H18" s="123" t="s">
        <v>82</v>
      </c>
      <c r="I18" s="127">
        <v>-0.1946</v>
      </c>
    </row>
    <row r="19" spans="1:9" ht="15" customHeight="1" x14ac:dyDescent="0.35">
      <c r="A19" s="123" t="s">
        <v>82</v>
      </c>
      <c r="B19" s="124">
        <v>6916</v>
      </c>
      <c r="C19" s="124">
        <v>4997</v>
      </c>
      <c r="E19" s="123" t="s">
        <v>82</v>
      </c>
      <c r="F19" s="125">
        <v>0.72230000000000005</v>
      </c>
      <c r="H19" s="123" t="s">
        <v>61</v>
      </c>
      <c r="I19" s="127">
        <v>-0.36509999999999998</v>
      </c>
    </row>
    <row r="20" spans="1:9" ht="15" customHeight="1" x14ac:dyDescent="0.35">
      <c r="A20" s="123" t="s">
        <v>83</v>
      </c>
      <c r="B20" s="124">
        <v>6742</v>
      </c>
      <c r="C20" s="124">
        <v>6742</v>
      </c>
      <c r="E20" s="123" t="s">
        <v>83</v>
      </c>
      <c r="F20" s="125">
        <v>1</v>
      </c>
      <c r="H20" s="123" t="s">
        <v>87</v>
      </c>
      <c r="I20" s="127">
        <v>-0.33539999999999998</v>
      </c>
    </row>
    <row r="21" spans="1:9" ht="15" customHeight="1" x14ac:dyDescent="0.35">
      <c r="A21" s="123" t="s">
        <v>87</v>
      </c>
      <c r="B21" s="124">
        <v>5597</v>
      </c>
      <c r="C21" s="124">
        <v>5597</v>
      </c>
      <c r="E21" s="123" t="s">
        <v>87</v>
      </c>
      <c r="F21" s="125">
        <v>1</v>
      </c>
      <c r="H21" s="123" t="s">
        <v>81</v>
      </c>
      <c r="I21" s="127">
        <v>-0.39279999999999998</v>
      </c>
    </row>
    <row r="22" spans="1:9" ht="15" customHeight="1" x14ac:dyDescent="0.35">
      <c r="A22" s="123" t="s">
        <v>88</v>
      </c>
      <c r="B22" s="124">
        <v>4632</v>
      </c>
      <c r="C22" s="124">
        <v>2859</v>
      </c>
      <c r="E22" s="123" t="s">
        <v>88</v>
      </c>
      <c r="F22" s="125">
        <v>0.6169</v>
      </c>
      <c r="H22" s="123" t="s">
        <v>66</v>
      </c>
      <c r="I22" s="127">
        <v>-0.79449999999999998</v>
      </c>
    </row>
    <row r="23" spans="1:9" ht="15" customHeight="1" x14ac:dyDescent="0.35">
      <c r="A23" s="123" t="s">
        <v>89</v>
      </c>
      <c r="B23" s="124">
        <v>3686</v>
      </c>
      <c r="C23" s="124">
        <v>3676</v>
      </c>
      <c r="E23" s="123" t="s">
        <v>89</v>
      </c>
      <c r="F23" s="125">
        <v>0.99739999999999995</v>
      </c>
    </row>
    <row r="24" spans="1:9" ht="15" customHeight="1" x14ac:dyDescent="0.35">
      <c r="A24" s="123" t="s">
        <v>265</v>
      </c>
      <c r="B24" s="124">
        <v>0</v>
      </c>
      <c r="C24" s="124">
        <v>0</v>
      </c>
    </row>
  </sheetData>
  <mergeCells count="5">
    <mergeCell ref="A1:T1"/>
    <mergeCell ref="A3:C3"/>
    <mergeCell ref="K3:M3"/>
    <mergeCell ref="E3:F3"/>
    <mergeCell ref="H3:I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17346"/>
  </sheetPr>
  <dimension ref="A1:N30"/>
  <sheetViews>
    <sheetView showGridLines="0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8.6328125" defaultRowHeight="14.5" x14ac:dyDescent="0.35"/>
  <cols>
    <col min="1" max="1" width="28" customWidth="1"/>
    <col min="2" max="3" width="14" customWidth="1"/>
    <col min="4" max="13" width="10" customWidth="1"/>
    <col min="14" max="14" width="14" customWidth="1"/>
  </cols>
  <sheetData>
    <row r="1" spans="1:14" ht="39.75" customHeight="1" x14ac:dyDescent="0.35">
      <c r="A1" s="211" t="s">
        <v>342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</row>
    <row r="2" spans="1:14" ht="13.5" customHeight="1" x14ac:dyDescent="0.35"/>
    <row r="3" spans="1:14" ht="30" customHeight="1" x14ac:dyDescent="0.35">
      <c r="A3" s="128" t="s">
        <v>10</v>
      </c>
      <c r="B3" s="128" t="s">
        <v>343</v>
      </c>
      <c r="C3" s="128" t="s">
        <v>344</v>
      </c>
      <c r="D3" s="28" t="s">
        <v>345</v>
      </c>
      <c r="E3" s="28" t="s">
        <v>346</v>
      </c>
      <c r="F3" s="28" t="s">
        <v>347</v>
      </c>
      <c r="G3" s="28" t="s">
        <v>348</v>
      </c>
      <c r="H3" s="28" t="s">
        <v>349</v>
      </c>
      <c r="I3" s="28" t="s">
        <v>350</v>
      </c>
      <c r="J3" s="28" t="s">
        <v>351</v>
      </c>
      <c r="K3" s="28" t="s">
        <v>352</v>
      </c>
      <c r="L3" s="28" t="s">
        <v>353</v>
      </c>
      <c r="M3" s="28" t="s">
        <v>354</v>
      </c>
      <c r="N3" s="128" t="s">
        <v>355</v>
      </c>
    </row>
    <row r="4" spans="1:14" ht="19.5" customHeight="1" x14ac:dyDescent="0.35">
      <c r="A4" s="6" t="s">
        <v>61</v>
      </c>
      <c r="B4" s="54">
        <v>33880</v>
      </c>
      <c r="C4" s="129">
        <f>'📋 Carteira'!C3</f>
        <v>26062</v>
      </c>
      <c r="D4" s="130" t="s">
        <v>356</v>
      </c>
      <c r="E4" s="131"/>
      <c r="F4" s="131"/>
      <c r="G4" s="131"/>
      <c r="H4" s="131"/>
      <c r="I4" s="131"/>
      <c r="J4" s="131"/>
      <c r="K4" s="131"/>
      <c r="L4" s="131"/>
      <c r="M4" s="131"/>
      <c r="N4" s="132">
        <f t="shared" ref="N4:N23" si="0">SUM(D4:M4)</f>
        <v>0</v>
      </c>
    </row>
    <row r="5" spans="1:14" ht="19.5" customHeight="1" x14ac:dyDescent="0.35">
      <c r="A5" s="133" t="s">
        <v>64</v>
      </c>
      <c r="B5" s="134">
        <v>28487</v>
      </c>
      <c r="C5" s="135">
        <f>'📋 Carteira'!C4</f>
        <v>23739</v>
      </c>
      <c r="D5" s="130" t="s">
        <v>356</v>
      </c>
      <c r="E5" s="136"/>
      <c r="F5" s="136"/>
      <c r="G5" s="136"/>
      <c r="H5" s="136"/>
      <c r="I5" s="136"/>
      <c r="J5" s="136"/>
      <c r="K5" s="136"/>
      <c r="L5" s="136"/>
      <c r="M5" s="136"/>
      <c r="N5" s="137">
        <f t="shared" si="0"/>
        <v>0</v>
      </c>
    </row>
    <row r="6" spans="1:14" ht="19.5" customHeight="1" x14ac:dyDescent="0.35">
      <c r="A6" s="6" t="s">
        <v>65</v>
      </c>
      <c r="B6" s="54">
        <v>26928</v>
      </c>
      <c r="C6" s="129">
        <f>'📋 Carteira'!C5</f>
        <v>20714</v>
      </c>
      <c r="D6" s="130" t="s">
        <v>356</v>
      </c>
      <c r="E6" s="131"/>
      <c r="F6" s="131"/>
      <c r="G6" s="131"/>
      <c r="H6" s="131"/>
      <c r="I6" s="131"/>
      <c r="J6" s="131"/>
      <c r="K6" s="131"/>
      <c r="L6" s="131"/>
      <c r="M6" s="131"/>
      <c r="N6" s="132">
        <f t="shared" si="0"/>
        <v>0</v>
      </c>
    </row>
    <row r="7" spans="1:14" ht="19.5" customHeight="1" x14ac:dyDescent="0.35">
      <c r="A7" s="133" t="s">
        <v>66</v>
      </c>
      <c r="B7" s="134">
        <v>26683</v>
      </c>
      <c r="C7" s="135">
        <f>'📋 Carteira'!C6</f>
        <v>20526</v>
      </c>
      <c r="D7" s="130" t="s">
        <v>356</v>
      </c>
      <c r="E7" s="136"/>
      <c r="F7" s="136"/>
      <c r="G7" s="136"/>
      <c r="H7" s="136"/>
      <c r="I7" s="136"/>
      <c r="J7" s="136"/>
      <c r="K7" s="136"/>
      <c r="L7" s="136"/>
      <c r="M7" s="136"/>
      <c r="N7" s="137">
        <f t="shared" si="0"/>
        <v>0</v>
      </c>
    </row>
    <row r="8" spans="1:14" ht="19.5" customHeight="1" x14ac:dyDescent="0.35">
      <c r="A8" s="6" t="s">
        <v>67</v>
      </c>
      <c r="B8" s="54">
        <v>20305</v>
      </c>
      <c r="C8" s="129">
        <f>'📋 Carteira'!C7</f>
        <v>15619</v>
      </c>
      <c r="D8" s="130" t="s">
        <v>356</v>
      </c>
      <c r="E8" s="131"/>
      <c r="F8" s="131"/>
      <c r="G8" s="131"/>
      <c r="H8" s="131"/>
      <c r="I8" s="131"/>
      <c r="J8" s="131"/>
      <c r="K8" s="131"/>
      <c r="L8" s="131"/>
      <c r="M8" s="131"/>
      <c r="N8" s="132">
        <f t="shared" si="0"/>
        <v>0</v>
      </c>
    </row>
    <row r="9" spans="1:14" ht="19.5" customHeight="1" x14ac:dyDescent="0.35">
      <c r="A9" s="133" t="s">
        <v>68</v>
      </c>
      <c r="B9" s="134">
        <v>20290</v>
      </c>
      <c r="C9" s="135">
        <f>'📋 Carteira'!C8</f>
        <v>15608</v>
      </c>
      <c r="D9" s="130" t="s">
        <v>356</v>
      </c>
      <c r="E9" s="136"/>
      <c r="F9" s="136"/>
      <c r="G9" s="136"/>
      <c r="H9" s="136"/>
      <c r="I9" s="136"/>
      <c r="J9" s="136"/>
      <c r="K9" s="136"/>
      <c r="L9" s="136"/>
      <c r="M9" s="136"/>
      <c r="N9" s="137">
        <f t="shared" si="0"/>
        <v>0</v>
      </c>
    </row>
    <row r="10" spans="1:14" ht="19.5" customHeight="1" x14ac:dyDescent="0.35">
      <c r="A10" s="6" t="s">
        <v>70</v>
      </c>
      <c r="B10" s="54">
        <v>18489</v>
      </c>
      <c r="C10" s="129">
        <f>'📋 Carteira'!C9</f>
        <v>14222</v>
      </c>
      <c r="D10" s="130" t="s">
        <v>356</v>
      </c>
      <c r="E10" s="131"/>
      <c r="F10" s="131"/>
      <c r="G10" s="131"/>
      <c r="H10" s="131"/>
      <c r="I10" s="131"/>
      <c r="J10" s="131"/>
      <c r="K10" s="131"/>
      <c r="L10" s="131"/>
      <c r="M10" s="131"/>
      <c r="N10" s="132">
        <f t="shared" si="0"/>
        <v>0</v>
      </c>
    </row>
    <row r="11" spans="1:14" ht="19.5" customHeight="1" x14ac:dyDescent="0.35">
      <c r="A11" s="133" t="s">
        <v>71</v>
      </c>
      <c r="B11" s="134">
        <v>18194</v>
      </c>
      <c r="C11" s="135">
        <f>'📋 Carteira'!C10</f>
        <v>13995</v>
      </c>
      <c r="D11" s="130" t="s">
        <v>356</v>
      </c>
      <c r="E11" s="136"/>
      <c r="F11" s="136"/>
      <c r="G11" s="136"/>
      <c r="H11" s="136"/>
      <c r="I11" s="136"/>
      <c r="J11" s="136"/>
      <c r="K11" s="136"/>
      <c r="L11" s="136"/>
      <c r="M11" s="136"/>
      <c r="N11" s="137">
        <f t="shared" si="0"/>
        <v>0</v>
      </c>
    </row>
    <row r="12" spans="1:14" ht="19.5" customHeight="1" x14ac:dyDescent="0.35">
      <c r="A12" s="6" t="s">
        <v>72</v>
      </c>
      <c r="B12" s="54">
        <v>16129</v>
      </c>
      <c r="C12" s="129">
        <f>'📋 Carteira'!C11</f>
        <v>12407</v>
      </c>
      <c r="D12" s="130" t="s">
        <v>356</v>
      </c>
      <c r="E12" s="131"/>
      <c r="F12" s="131"/>
      <c r="G12" s="131"/>
      <c r="H12" s="131"/>
      <c r="I12" s="131"/>
      <c r="J12" s="131"/>
      <c r="K12" s="131"/>
      <c r="L12" s="131"/>
      <c r="M12" s="131"/>
      <c r="N12" s="132">
        <f t="shared" si="0"/>
        <v>0</v>
      </c>
    </row>
    <row r="13" spans="1:14" ht="19.5" customHeight="1" x14ac:dyDescent="0.35">
      <c r="A13" s="133" t="s">
        <v>74</v>
      </c>
      <c r="B13" s="134">
        <v>15350</v>
      </c>
      <c r="C13" s="135">
        <f>'📋 Carteira'!C12</f>
        <v>11808</v>
      </c>
      <c r="D13" s="130" t="s">
        <v>356</v>
      </c>
      <c r="E13" s="136"/>
      <c r="F13" s="136"/>
      <c r="G13" s="136"/>
      <c r="H13" s="136"/>
      <c r="I13" s="136"/>
      <c r="J13" s="136"/>
      <c r="K13" s="136"/>
      <c r="L13" s="136"/>
      <c r="M13" s="136"/>
      <c r="N13" s="137">
        <f t="shared" si="0"/>
        <v>0</v>
      </c>
    </row>
    <row r="14" spans="1:14" ht="19.5" customHeight="1" x14ac:dyDescent="0.35">
      <c r="A14" s="6" t="s">
        <v>76</v>
      </c>
      <c r="B14" s="54">
        <v>17375</v>
      </c>
      <c r="C14" s="129">
        <f>'📋 Carteira'!C13</f>
        <v>11583</v>
      </c>
      <c r="D14" s="130" t="s">
        <v>356</v>
      </c>
      <c r="E14" s="131"/>
      <c r="F14" s="131"/>
      <c r="G14" s="131"/>
      <c r="H14" s="131"/>
      <c r="I14" s="131"/>
      <c r="J14" s="131"/>
      <c r="K14" s="131"/>
      <c r="L14" s="131"/>
      <c r="M14" s="131"/>
      <c r="N14" s="132">
        <f t="shared" si="0"/>
        <v>0</v>
      </c>
    </row>
    <row r="15" spans="1:14" ht="19.5" customHeight="1" x14ac:dyDescent="0.35">
      <c r="A15" s="133" t="s">
        <v>79</v>
      </c>
      <c r="B15" s="134">
        <v>12108</v>
      </c>
      <c r="C15" s="135">
        <f>'📋 Carteira'!C14</f>
        <v>9314</v>
      </c>
      <c r="D15" s="130" t="s">
        <v>356</v>
      </c>
      <c r="E15" s="136"/>
      <c r="F15" s="136"/>
      <c r="G15" s="136"/>
      <c r="H15" s="136"/>
      <c r="I15" s="136"/>
      <c r="J15" s="136"/>
      <c r="K15" s="136"/>
      <c r="L15" s="136"/>
      <c r="M15" s="136"/>
      <c r="N15" s="137">
        <f t="shared" si="0"/>
        <v>0</v>
      </c>
    </row>
    <row r="16" spans="1:14" ht="19.5" customHeight="1" x14ac:dyDescent="0.35">
      <c r="A16" s="6" t="s">
        <v>80</v>
      </c>
      <c r="B16" s="54">
        <v>10192</v>
      </c>
      <c r="C16" s="129">
        <f>'📋 Carteira'!C15</f>
        <v>7840</v>
      </c>
      <c r="D16" s="130" t="s">
        <v>356</v>
      </c>
      <c r="E16" s="131"/>
      <c r="F16" s="131"/>
      <c r="G16" s="131"/>
      <c r="H16" s="131"/>
      <c r="I16" s="131"/>
      <c r="J16" s="131"/>
      <c r="K16" s="131"/>
      <c r="L16" s="131"/>
      <c r="M16" s="131"/>
      <c r="N16" s="132">
        <f t="shared" si="0"/>
        <v>0</v>
      </c>
    </row>
    <row r="17" spans="1:14" ht="19.5" customHeight="1" x14ac:dyDescent="0.35">
      <c r="A17" s="133" t="s">
        <v>81</v>
      </c>
      <c r="B17" s="134">
        <v>9616</v>
      </c>
      <c r="C17" s="135">
        <f>'📋 Carteira'!C16</f>
        <v>7397</v>
      </c>
      <c r="D17" s="130" t="s">
        <v>356</v>
      </c>
      <c r="E17" s="136"/>
      <c r="F17" s="136"/>
      <c r="G17" s="136"/>
      <c r="H17" s="136"/>
      <c r="I17" s="136"/>
      <c r="J17" s="136"/>
      <c r="K17" s="136"/>
      <c r="L17" s="136"/>
      <c r="M17" s="136"/>
      <c r="N17" s="137">
        <f t="shared" si="0"/>
        <v>0</v>
      </c>
    </row>
    <row r="18" spans="1:14" ht="19.5" customHeight="1" x14ac:dyDescent="0.35">
      <c r="A18" s="6" t="s">
        <v>82</v>
      </c>
      <c r="B18" s="54">
        <v>8991</v>
      </c>
      <c r="C18" s="129">
        <f>'📋 Carteira'!C17</f>
        <v>6916</v>
      </c>
      <c r="D18" s="130" t="s">
        <v>356</v>
      </c>
      <c r="E18" s="131"/>
      <c r="F18" s="131"/>
      <c r="G18" s="131"/>
      <c r="H18" s="131"/>
      <c r="I18" s="131"/>
      <c r="J18" s="131"/>
      <c r="K18" s="131"/>
      <c r="L18" s="131"/>
      <c r="M18" s="131"/>
      <c r="N18" s="132">
        <f t="shared" si="0"/>
        <v>0</v>
      </c>
    </row>
    <row r="19" spans="1:14" ht="19.5" customHeight="1" x14ac:dyDescent="0.35">
      <c r="A19" s="133" t="s">
        <v>83</v>
      </c>
      <c r="B19" s="134">
        <v>8764</v>
      </c>
      <c r="C19" s="135">
        <f>'📋 Carteira'!C18</f>
        <v>6742</v>
      </c>
      <c r="D19" s="130" t="s">
        <v>356</v>
      </c>
      <c r="E19" s="136"/>
      <c r="F19" s="136"/>
      <c r="G19" s="136"/>
      <c r="H19" s="136"/>
      <c r="I19" s="136"/>
      <c r="J19" s="136"/>
      <c r="K19" s="136"/>
      <c r="L19" s="136"/>
      <c r="M19" s="136"/>
      <c r="N19" s="137">
        <f t="shared" si="0"/>
        <v>0</v>
      </c>
    </row>
    <row r="20" spans="1:14" ht="19.5" customHeight="1" x14ac:dyDescent="0.35">
      <c r="A20" s="6" t="s">
        <v>87</v>
      </c>
      <c r="B20" s="54">
        <v>7276</v>
      </c>
      <c r="C20" s="129">
        <f>'📋 Carteira'!C19</f>
        <v>5597</v>
      </c>
      <c r="D20" s="130" t="s">
        <v>356</v>
      </c>
      <c r="E20" s="131"/>
      <c r="F20" s="131"/>
      <c r="G20" s="131"/>
      <c r="H20" s="131"/>
      <c r="I20" s="131"/>
      <c r="J20" s="131"/>
      <c r="K20" s="131"/>
      <c r="L20" s="131"/>
      <c r="M20" s="131"/>
      <c r="N20" s="132">
        <f t="shared" si="0"/>
        <v>0</v>
      </c>
    </row>
    <row r="21" spans="1:14" ht="19.5" customHeight="1" x14ac:dyDescent="0.35">
      <c r="A21" s="133" t="s">
        <v>88</v>
      </c>
      <c r="B21" s="134">
        <v>6021</v>
      </c>
      <c r="C21" s="135">
        <f>'📋 Carteira'!C20</f>
        <v>4632</v>
      </c>
      <c r="D21" s="130" t="s">
        <v>356</v>
      </c>
      <c r="E21" s="136"/>
      <c r="F21" s="136"/>
      <c r="G21" s="136"/>
      <c r="H21" s="136"/>
      <c r="I21" s="136"/>
      <c r="J21" s="136"/>
      <c r="K21" s="136"/>
      <c r="L21" s="136"/>
      <c r="M21" s="136"/>
      <c r="N21" s="137">
        <f t="shared" si="0"/>
        <v>0</v>
      </c>
    </row>
    <row r="22" spans="1:14" ht="19.5" customHeight="1" x14ac:dyDescent="0.35">
      <c r="A22" s="6" t="s">
        <v>89</v>
      </c>
      <c r="B22" s="54">
        <v>4792</v>
      </c>
      <c r="C22" s="129">
        <f>'📋 Carteira'!C21</f>
        <v>3686</v>
      </c>
      <c r="D22" s="130" t="s">
        <v>356</v>
      </c>
      <c r="E22" s="131"/>
      <c r="F22" s="131"/>
      <c r="G22" s="131"/>
      <c r="H22" s="131"/>
      <c r="I22" s="131"/>
      <c r="J22" s="131"/>
      <c r="K22" s="131"/>
      <c r="L22" s="131"/>
      <c r="M22" s="131"/>
      <c r="N22" s="132">
        <f t="shared" si="0"/>
        <v>0</v>
      </c>
    </row>
    <row r="23" spans="1:14" ht="19.5" customHeight="1" x14ac:dyDescent="0.35">
      <c r="A23" s="133" t="s">
        <v>265</v>
      </c>
      <c r="B23" s="134">
        <v>8000</v>
      </c>
      <c r="C23" s="135">
        <f>'📋 Carteira'!C22</f>
        <v>0</v>
      </c>
      <c r="D23" s="130" t="s">
        <v>356</v>
      </c>
      <c r="E23" s="136"/>
      <c r="F23" s="136"/>
      <c r="G23" s="136"/>
      <c r="H23" s="136"/>
      <c r="I23" s="136"/>
      <c r="J23" s="136"/>
      <c r="K23" s="136"/>
      <c r="L23" s="136"/>
      <c r="M23" s="136"/>
      <c r="N23" s="137">
        <f t="shared" si="0"/>
        <v>0</v>
      </c>
    </row>
    <row r="24" spans="1:14" ht="21.75" customHeight="1" x14ac:dyDescent="0.35">
      <c r="A24" s="122" t="s">
        <v>357</v>
      </c>
      <c r="B24" s="90">
        <f t="shared" ref="B24:N24" si="1">SUM(B4:B23)</f>
        <v>317870</v>
      </c>
      <c r="C24" s="90">
        <f t="shared" si="1"/>
        <v>238407</v>
      </c>
      <c r="D24" s="138">
        <f t="shared" si="1"/>
        <v>0</v>
      </c>
      <c r="E24" s="138">
        <f t="shared" si="1"/>
        <v>0</v>
      </c>
      <c r="F24" s="138">
        <f t="shared" si="1"/>
        <v>0</v>
      </c>
      <c r="G24" s="138">
        <f t="shared" si="1"/>
        <v>0</v>
      </c>
      <c r="H24" s="138">
        <f t="shared" si="1"/>
        <v>0</v>
      </c>
      <c r="I24" s="138">
        <f t="shared" si="1"/>
        <v>0</v>
      </c>
      <c r="J24" s="138">
        <f t="shared" si="1"/>
        <v>0</v>
      </c>
      <c r="K24" s="138">
        <f t="shared" si="1"/>
        <v>0</v>
      </c>
      <c r="L24" s="138">
        <f t="shared" si="1"/>
        <v>0</v>
      </c>
      <c r="M24" s="138">
        <f t="shared" si="1"/>
        <v>0</v>
      </c>
      <c r="N24" s="90">
        <f t="shared" si="1"/>
        <v>0</v>
      </c>
    </row>
    <row r="26" spans="1:14" ht="15" customHeight="1" x14ac:dyDescent="0.35">
      <c r="A26" s="209" t="s">
        <v>358</v>
      </c>
      <c r="B26" s="207"/>
      <c r="C26" s="207"/>
      <c r="D26" s="207"/>
      <c r="E26" s="207"/>
    </row>
    <row r="27" spans="1:14" ht="15" customHeight="1" x14ac:dyDescent="0.35">
      <c r="A27" s="139" t="s">
        <v>359</v>
      </c>
      <c r="B27" s="229" t="s">
        <v>360</v>
      </c>
      <c r="C27" s="207"/>
      <c r="D27" s="207"/>
      <c r="E27" s="207"/>
    </row>
    <row r="28" spans="1:14" ht="15" customHeight="1" x14ac:dyDescent="0.35">
      <c r="A28" s="139" t="s">
        <v>361</v>
      </c>
      <c r="B28" s="229" t="s">
        <v>362</v>
      </c>
      <c r="C28" s="207"/>
      <c r="D28" s="207"/>
      <c r="E28" s="207"/>
    </row>
    <row r="29" spans="1:14" ht="15" customHeight="1" x14ac:dyDescent="0.35">
      <c r="A29" s="139" t="s">
        <v>363</v>
      </c>
      <c r="B29" s="229" t="s">
        <v>364</v>
      </c>
      <c r="C29" s="207"/>
      <c r="D29" s="207"/>
      <c r="E29" s="207"/>
    </row>
    <row r="30" spans="1:14" ht="15" customHeight="1" x14ac:dyDescent="0.35">
      <c r="A30" s="139" t="s">
        <v>365</v>
      </c>
      <c r="B30" s="229" t="s">
        <v>366</v>
      </c>
      <c r="C30" s="207"/>
      <c r="D30" s="207"/>
      <c r="E30" s="207"/>
    </row>
  </sheetData>
  <mergeCells count="6">
    <mergeCell ref="A1:N1"/>
    <mergeCell ref="B27:E27"/>
    <mergeCell ref="A26:E26"/>
    <mergeCell ref="B30:E30"/>
    <mergeCell ref="B29:E29"/>
    <mergeCell ref="B28:E2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E44AD"/>
  </sheetPr>
  <dimension ref="A1:P105"/>
  <sheetViews>
    <sheetView showGridLines="0" tabSelected="1" zoomScaleNormal="10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C97" sqref="C97"/>
    </sheetView>
  </sheetViews>
  <sheetFormatPr defaultColWidth="8.6328125" defaultRowHeight="14.5" x14ac:dyDescent="0.35"/>
  <cols>
    <col min="1" max="1" width="14.36328125" bestFit="1" customWidth="1"/>
    <col min="2" max="2" width="40.1796875" bestFit="1" customWidth="1"/>
    <col min="3" max="3" width="12.6328125" bestFit="1" customWidth="1"/>
    <col min="4" max="4" width="12.08984375" bestFit="1" customWidth="1"/>
    <col min="5" max="5" width="10.7265625" bestFit="1" customWidth="1"/>
    <col min="6" max="6" width="11.1796875" bestFit="1" customWidth="1"/>
    <col min="7" max="7" width="12.08984375" bestFit="1" customWidth="1"/>
    <col min="8" max="8" width="10.453125" bestFit="1" customWidth="1"/>
    <col min="9" max="9" width="9.08984375" bestFit="1" customWidth="1"/>
    <col min="10" max="10" width="12.54296875" bestFit="1" customWidth="1"/>
    <col min="11" max="11" width="10.453125" bestFit="1" customWidth="1"/>
    <col min="12" max="12" width="8" bestFit="1" customWidth="1"/>
    <col min="13" max="13" width="12.08984375" bestFit="1" customWidth="1"/>
    <col min="14" max="14" width="6.90625" bestFit="1" customWidth="1"/>
    <col min="15" max="15" width="10.453125" bestFit="1" customWidth="1"/>
    <col min="16" max="16" width="53" bestFit="1" customWidth="1"/>
  </cols>
  <sheetData>
    <row r="1" spans="1:16" ht="39.75" customHeight="1" x14ac:dyDescent="0.35">
      <c r="A1" s="211" t="s">
        <v>0</v>
      </c>
      <c r="B1" s="207"/>
      <c r="C1" s="206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1"/>
    </row>
    <row r="2" spans="1:16" ht="13.5" customHeight="1" x14ac:dyDescent="0.35">
      <c r="A2" s="208" t="s">
        <v>1</v>
      </c>
      <c r="B2" s="207"/>
      <c r="C2" s="206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1"/>
    </row>
    <row r="3" spans="1:16" ht="19.5" customHeight="1" x14ac:dyDescent="0.35">
      <c r="A3" s="209" t="s">
        <v>2</v>
      </c>
      <c r="B3" s="207"/>
      <c r="C3" s="206"/>
      <c r="D3" s="207"/>
      <c r="E3" s="212" t="s">
        <v>3</v>
      </c>
      <c r="F3" s="207"/>
      <c r="G3" s="207"/>
      <c r="H3" s="213" t="s">
        <v>4</v>
      </c>
      <c r="I3" s="207"/>
      <c r="J3" s="207"/>
      <c r="K3" s="214" t="s">
        <v>5</v>
      </c>
      <c r="L3" s="207"/>
      <c r="M3" s="201"/>
    </row>
    <row r="4" spans="1:16" ht="18" customHeight="1" x14ac:dyDescent="0.35">
      <c r="A4" s="140" t="s">
        <v>6</v>
      </c>
      <c r="B4" s="140" t="s">
        <v>7</v>
      </c>
      <c r="D4" s="140" t="s">
        <v>8</v>
      </c>
      <c r="E4" s="141" t="s">
        <v>6</v>
      </c>
      <c r="F4" s="141" t="s">
        <v>7</v>
      </c>
      <c r="G4" s="141" t="s">
        <v>8</v>
      </c>
      <c r="H4" s="142" t="s">
        <v>6</v>
      </c>
      <c r="I4" s="142" t="s">
        <v>7</v>
      </c>
      <c r="J4" s="142" t="s">
        <v>8</v>
      </c>
      <c r="K4" s="143" t="s">
        <v>6</v>
      </c>
      <c r="L4" s="143" t="s">
        <v>7</v>
      </c>
      <c r="M4" s="143" t="s">
        <v>8</v>
      </c>
    </row>
    <row r="5" spans="1:16" ht="25.5" customHeight="1" x14ac:dyDescent="0.35">
      <c r="A5" s="144">
        <v>2433574.5527629899</v>
      </c>
      <c r="B5" s="144">
        <v>1270996.15191</v>
      </c>
      <c r="D5" s="145">
        <v>0.52227541189028004</v>
      </c>
      <c r="E5" s="146">
        <v>2058439.65879199</v>
      </c>
      <c r="F5" s="146">
        <v>1039464.641479</v>
      </c>
      <c r="G5" s="147">
        <v>0.50497697954819398</v>
      </c>
      <c r="H5" s="148">
        <v>347673.928088999</v>
      </c>
      <c r="I5" s="148">
        <v>216309.59064800001</v>
      </c>
      <c r="J5" s="149">
        <v>0.62216224218178395</v>
      </c>
      <c r="K5" s="150">
        <v>27460.965882</v>
      </c>
      <c r="L5" s="150">
        <v>15221.919782999999</v>
      </c>
      <c r="M5" s="151">
        <v>0.55431115745923698</v>
      </c>
    </row>
    <row r="6" spans="1:16" ht="9.75" customHeight="1" x14ac:dyDescent="0.35"/>
    <row r="7" spans="1:16" ht="31.5" customHeight="1" x14ac:dyDescent="0.35">
      <c r="A7" s="40" t="s">
        <v>9</v>
      </c>
      <c r="B7" s="40" t="s">
        <v>10</v>
      </c>
      <c r="C7" s="204" t="s">
        <v>11</v>
      </c>
      <c r="D7" s="40" t="s">
        <v>12</v>
      </c>
      <c r="E7" s="40" t="s">
        <v>13</v>
      </c>
      <c r="F7" s="40" t="s">
        <v>14</v>
      </c>
      <c r="G7" s="40" t="s">
        <v>15</v>
      </c>
      <c r="H7" s="40" t="s">
        <v>16</v>
      </c>
      <c r="I7" s="40" t="s">
        <v>17</v>
      </c>
      <c r="J7" s="40" t="s">
        <v>18</v>
      </c>
      <c r="K7" s="40" t="s">
        <v>19</v>
      </c>
      <c r="L7" s="40" t="s">
        <v>20</v>
      </c>
      <c r="M7" s="40" t="s">
        <v>21</v>
      </c>
      <c r="N7" s="40" t="s">
        <v>22</v>
      </c>
      <c r="O7" s="40" t="s">
        <v>23</v>
      </c>
      <c r="P7" s="40" t="s">
        <v>24</v>
      </c>
    </row>
    <row r="8" spans="1:16" ht="16.5" customHeight="1" x14ac:dyDescent="0.35">
      <c r="A8" s="152">
        <v>1</v>
      </c>
      <c r="B8" s="4" t="s">
        <v>25</v>
      </c>
      <c r="C8" t="s">
        <v>367</v>
      </c>
      <c r="D8" s="152" t="s">
        <v>26</v>
      </c>
      <c r="E8" s="153"/>
      <c r="F8" s="154">
        <v>33063248</v>
      </c>
      <c r="G8" s="30">
        <v>187822.88821199699</v>
      </c>
      <c r="H8" s="30">
        <v>111584.55907600001</v>
      </c>
      <c r="I8" s="31">
        <v>0.59368723025072201</v>
      </c>
      <c r="J8" s="155">
        <v>-0.32115497052323499</v>
      </c>
      <c r="K8" s="155">
        <v>-0.12835517619879999</v>
      </c>
      <c r="L8" s="155">
        <v>-0.26918325231351597</v>
      </c>
      <c r="M8" s="156">
        <v>7.7179837370813201E-2</v>
      </c>
      <c r="N8" s="156">
        <v>8.7792995209557606E-2</v>
      </c>
      <c r="O8" s="157">
        <v>1</v>
      </c>
      <c r="P8" s="158" t="s">
        <v>27</v>
      </c>
    </row>
    <row r="9" spans="1:16" ht="16.5" customHeight="1" x14ac:dyDescent="0.35">
      <c r="A9" s="152">
        <v>2</v>
      </c>
      <c r="B9" s="4" t="s">
        <v>28</v>
      </c>
      <c r="C9" t="s">
        <v>368</v>
      </c>
      <c r="D9" s="152" t="s">
        <v>26</v>
      </c>
      <c r="E9" s="153"/>
      <c r="F9" s="154">
        <v>28577420</v>
      </c>
      <c r="G9" s="30">
        <v>143271.69733799601</v>
      </c>
      <c r="H9" s="30">
        <v>25580.394357999499</v>
      </c>
      <c r="I9" s="155">
        <v>0.17845336881471799</v>
      </c>
      <c r="J9" s="159">
        <v>0.470344141688392</v>
      </c>
      <c r="K9" s="160">
        <v>1.0026935466427001</v>
      </c>
      <c r="L9" s="159">
        <v>0.459436950143361</v>
      </c>
      <c r="M9" s="156">
        <v>5.88729435781329E-2</v>
      </c>
      <c r="N9" s="156">
        <v>2.0126256338037201E-2</v>
      </c>
      <c r="O9" s="157">
        <v>2</v>
      </c>
      <c r="P9" s="158" t="s">
        <v>27</v>
      </c>
    </row>
    <row r="10" spans="1:16" ht="16.5" customHeight="1" x14ac:dyDescent="0.35">
      <c r="A10" s="152">
        <v>3</v>
      </c>
      <c r="B10" s="4" t="s">
        <v>29</v>
      </c>
      <c r="C10" t="s">
        <v>368</v>
      </c>
      <c r="D10" s="152" t="s">
        <v>26</v>
      </c>
      <c r="E10" s="153"/>
      <c r="F10" s="154">
        <v>1629750</v>
      </c>
      <c r="G10" s="30">
        <v>142729.21358300099</v>
      </c>
      <c r="H10" s="30">
        <v>65863.124561999997</v>
      </c>
      <c r="I10" s="31">
        <v>0.461213190361355</v>
      </c>
      <c r="J10" s="159">
        <v>4.0998365481838002E-2</v>
      </c>
      <c r="K10" s="160">
        <v>0.75788615297532902</v>
      </c>
      <c r="L10" s="160">
        <v>1.2555759156434201</v>
      </c>
      <c r="M10" s="156">
        <v>5.8650027146672501E-2</v>
      </c>
      <c r="N10" s="156">
        <v>5.18200818019975E-2</v>
      </c>
      <c r="O10" s="157">
        <v>3</v>
      </c>
      <c r="P10" s="158" t="s">
        <v>27</v>
      </c>
    </row>
    <row r="11" spans="1:16" ht="16.5" customHeight="1" x14ac:dyDescent="0.35">
      <c r="A11" s="152">
        <v>4</v>
      </c>
      <c r="B11" s="4" t="s">
        <v>30</v>
      </c>
      <c r="C11" t="s">
        <v>367</v>
      </c>
      <c r="D11" s="152" t="s">
        <v>26</v>
      </c>
      <c r="E11" s="153"/>
      <c r="F11" s="154">
        <v>32455054</v>
      </c>
      <c r="G11" s="30">
        <v>118155.36677099801</v>
      </c>
      <c r="H11" s="30">
        <v>18908.769933998799</v>
      </c>
      <c r="I11" s="155">
        <v>0.16030007847024799</v>
      </c>
      <c r="J11" s="155">
        <v>-0.38462784036720099</v>
      </c>
      <c r="K11" s="155">
        <v>-7.8450036335771495E-2</v>
      </c>
      <c r="L11" s="155">
        <v>-5.3219749525183102E-2</v>
      </c>
      <c r="M11" s="156">
        <v>4.8552187002797398E-2</v>
      </c>
      <c r="N11" s="156">
        <v>1.48771260287323E-2</v>
      </c>
      <c r="O11" s="157">
        <v>4</v>
      </c>
      <c r="P11" s="158" t="s">
        <v>27</v>
      </c>
    </row>
    <row r="12" spans="1:16" ht="16.5" customHeight="1" x14ac:dyDescent="0.35">
      <c r="A12" s="152">
        <v>5</v>
      </c>
      <c r="B12" s="4" t="s">
        <v>31</v>
      </c>
      <c r="C12" t="s">
        <v>368</v>
      </c>
      <c r="D12" s="152" t="s">
        <v>26</v>
      </c>
      <c r="E12" s="153"/>
      <c r="F12" s="154">
        <v>24218534</v>
      </c>
      <c r="G12" s="30">
        <v>112521.03243000001</v>
      </c>
      <c r="H12" s="30">
        <v>62935.567152998497</v>
      </c>
      <c r="I12" s="31">
        <v>0.55853953166099901</v>
      </c>
      <c r="J12" s="161" t="s">
        <v>32</v>
      </c>
      <c r="K12" s="155">
        <v>-0.11403827121450601</v>
      </c>
      <c r="L12" s="155">
        <v>-0.16441039429783</v>
      </c>
      <c r="M12" s="156">
        <v>4.6236936650347303E-2</v>
      </c>
      <c r="N12" s="156">
        <v>4.9516725175305802E-2</v>
      </c>
      <c r="O12" s="157">
        <v>5</v>
      </c>
      <c r="P12" s="158" t="s">
        <v>27</v>
      </c>
    </row>
    <row r="13" spans="1:16" ht="16.5" customHeight="1" x14ac:dyDescent="0.35">
      <c r="A13" s="152">
        <v>6</v>
      </c>
      <c r="B13" s="4" t="s">
        <v>33</v>
      </c>
      <c r="C13" t="s">
        <v>369</v>
      </c>
      <c r="D13" s="152" t="s">
        <v>26</v>
      </c>
      <c r="E13" s="153"/>
      <c r="F13" s="154">
        <v>12336197</v>
      </c>
      <c r="G13" s="30">
        <v>105062.87613999999</v>
      </c>
      <c r="H13" s="30">
        <v>32916.457739999903</v>
      </c>
      <c r="I13" s="31">
        <v>0.313129919055541</v>
      </c>
      <c r="J13" s="159">
        <v>7.7097329275650897E-2</v>
      </c>
      <c r="K13" s="155">
        <v>-1.4960996190725899E-2</v>
      </c>
      <c r="L13" s="155">
        <v>-2.3801958213271499E-2</v>
      </c>
      <c r="M13" s="156">
        <v>4.3172244721541499E-2</v>
      </c>
      <c r="N13" s="156">
        <v>2.58981568831145E-2</v>
      </c>
      <c r="O13" s="157">
        <v>6</v>
      </c>
      <c r="P13" s="158" t="s">
        <v>27</v>
      </c>
    </row>
    <row r="14" spans="1:16" ht="16.5" customHeight="1" x14ac:dyDescent="0.35">
      <c r="A14" s="152">
        <v>7</v>
      </c>
      <c r="B14" s="4" t="s">
        <v>34</v>
      </c>
      <c r="C14" t="s">
        <v>367</v>
      </c>
      <c r="D14" s="152" t="s">
        <v>26</v>
      </c>
      <c r="E14" s="153"/>
      <c r="F14" s="154">
        <v>7985570</v>
      </c>
      <c r="G14" s="30">
        <v>99075.624657998997</v>
      </c>
      <c r="H14" s="30">
        <v>46884.045372998902</v>
      </c>
      <c r="I14" s="31">
        <v>0.47293713937343501</v>
      </c>
      <c r="J14" s="159">
        <v>2.8078789389900199E-2</v>
      </c>
      <c r="K14" s="159">
        <v>0.477876087439705</v>
      </c>
      <c r="L14" s="160">
        <v>0.59497887772964198</v>
      </c>
      <c r="M14" s="156">
        <v>4.0711974303607103E-2</v>
      </c>
      <c r="N14" s="156">
        <v>3.6887637545199199E-2</v>
      </c>
      <c r="O14" s="157">
        <v>7</v>
      </c>
      <c r="P14" s="158" t="s">
        <v>27</v>
      </c>
    </row>
    <row r="15" spans="1:16" ht="16.5" customHeight="1" x14ac:dyDescent="0.35">
      <c r="A15" s="152">
        <v>8</v>
      </c>
      <c r="B15" s="4" t="s">
        <v>35</v>
      </c>
      <c r="C15" t="s">
        <v>370</v>
      </c>
      <c r="D15" s="152" t="s">
        <v>26</v>
      </c>
      <c r="E15" s="153"/>
      <c r="F15" s="154">
        <v>2511017</v>
      </c>
      <c r="G15" s="30">
        <v>99026.369949000393</v>
      </c>
      <c r="H15" s="30">
        <v>28722.181480999901</v>
      </c>
      <c r="I15" s="31">
        <v>0.28967865317250602</v>
      </c>
      <c r="J15" s="160">
        <v>1.14977047894672</v>
      </c>
      <c r="K15" s="160">
        <v>1.1913866134820501</v>
      </c>
      <c r="L15" s="160">
        <v>1.11025230413729</v>
      </c>
      <c r="M15" s="156">
        <v>4.0691734648757499E-2</v>
      </c>
      <c r="N15" s="156">
        <v>2.2598165571026702E-2</v>
      </c>
      <c r="O15" s="157">
        <v>8</v>
      </c>
      <c r="P15" s="158" t="s">
        <v>27</v>
      </c>
    </row>
    <row r="16" spans="1:16" ht="16.5" customHeight="1" x14ac:dyDescent="0.35">
      <c r="A16" s="152">
        <v>9</v>
      </c>
      <c r="B16" s="4" t="s">
        <v>36</v>
      </c>
      <c r="C16" t="s">
        <v>370</v>
      </c>
      <c r="D16" s="152" t="s">
        <v>26</v>
      </c>
      <c r="E16" s="153"/>
      <c r="F16" s="154">
        <v>2457371</v>
      </c>
      <c r="G16" s="30">
        <v>98488.903281998006</v>
      </c>
      <c r="H16" s="30">
        <v>45543.819956999701</v>
      </c>
      <c r="I16" s="31">
        <v>0.46223253662278102</v>
      </c>
      <c r="J16" s="155">
        <v>-9.3370022336390898E-2</v>
      </c>
      <c r="K16" s="159">
        <v>2.13660149727102E-2</v>
      </c>
      <c r="L16" s="159">
        <v>9.9132401856673706E-3</v>
      </c>
      <c r="M16" s="156">
        <v>4.0470879829910003E-2</v>
      </c>
      <c r="N16" s="156">
        <v>3.5833169037182797E-2</v>
      </c>
      <c r="O16" s="157">
        <v>9</v>
      </c>
      <c r="P16" s="158" t="s">
        <v>27</v>
      </c>
    </row>
    <row r="17" spans="1:16" ht="16.5" customHeight="1" x14ac:dyDescent="0.35">
      <c r="A17" s="152">
        <v>10</v>
      </c>
      <c r="B17" s="4" t="s">
        <v>37</v>
      </c>
      <c r="C17" t="s">
        <v>368</v>
      </c>
      <c r="D17" s="152" t="s">
        <v>26</v>
      </c>
      <c r="E17" s="153"/>
      <c r="F17" s="154">
        <v>87949</v>
      </c>
      <c r="G17" s="30">
        <v>93722.362437999996</v>
      </c>
      <c r="H17" s="30">
        <v>93225.422247000097</v>
      </c>
      <c r="I17" s="159">
        <v>0.99467930833352103</v>
      </c>
      <c r="J17" s="155">
        <v>-0.35234975727620599</v>
      </c>
      <c r="K17" s="155">
        <v>-5.52164875351313E-3</v>
      </c>
      <c r="L17" s="155">
        <v>-4.4564006312634696E-3</v>
      </c>
      <c r="M17" s="156">
        <v>3.8512221592550397E-2</v>
      </c>
      <c r="N17" s="156">
        <v>7.3348311957440002E-2</v>
      </c>
      <c r="O17" s="157">
        <v>10</v>
      </c>
      <c r="P17" s="158" t="s">
        <v>27</v>
      </c>
    </row>
    <row r="18" spans="1:16" ht="16.5" customHeight="1" x14ac:dyDescent="0.35">
      <c r="A18" s="152">
        <v>11</v>
      </c>
      <c r="B18" s="4" t="s">
        <v>38</v>
      </c>
      <c r="C18" t="s">
        <v>367</v>
      </c>
      <c r="D18" s="152" t="s">
        <v>26</v>
      </c>
      <c r="E18" s="153"/>
      <c r="F18" s="154">
        <v>495621</v>
      </c>
      <c r="G18" s="30">
        <v>76613.569214000207</v>
      </c>
      <c r="H18" s="30">
        <v>49644.7570330003</v>
      </c>
      <c r="I18" s="31">
        <v>0.64727979353922405</v>
      </c>
      <c r="J18" s="155">
        <v>-0.39223683149925398</v>
      </c>
      <c r="K18" s="155">
        <v>-0.13466678690485101</v>
      </c>
      <c r="L18" s="155">
        <v>-5.1743716698281601E-2</v>
      </c>
      <c r="M18" s="156">
        <v>3.14819076025495E-2</v>
      </c>
      <c r="N18" s="156">
        <v>3.9059722532122802E-2</v>
      </c>
      <c r="O18" s="157">
        <v>11</v>
      </c>
      <c r="P18" s="158" t="s">
        <v>27</v>
      </c>
    </row>
    <row r="19" spans="1:16" ht="16.5" customHeight="1" x14ac:dyDescent="0.35">
      <c r="A19" s="152">
        <v>12</v>
      </c>
      <c r="B19" s="4" t="s">
        <v>39</v>
      </c>
      <c r="C19" t="s">
        <v>370</v>
      </c>
      <c r="D19" s="152" t="s">
        <v>26</v>
      </c>
      <c r="E19" s="153"/>
      <c r="F19" s="154">
        <v>806368</v>
      </c>
      <c r="G19" s="30">
        <v>65952.627161999801</v>
      </c>
      <c r="H19" s="30">
        <v>42978.126691999802</v>
      </c>
      <c r="I19" s="31">
        <v>0.65103300249797902</v>
      </c>
      <c r="J19" s="160">
        <v>0.77315385782215595</v>
      </c>
      <c r="K19" s="160">
        <v>2.8904504261849699</v>
      </c>
      <c r="L19" s="161" t="s">
        <v>32</v>
      </c>
      <c r="M19" s="156">
        <v>2.7101132811863E-2</v>
      </c>
      <c r="N19" s="156">
        <v>3.3814521489631801E-2</v>
      </c>
      <c r="O19" s="157">
        <v>12</v>
      </c>
      <c r="P19" s="158" t="s">
        <v>27</v>
      </c>
    </row>
    <row r="20" spans="1:16" ht="16.5" customHeight="1" x14ac:dyDescent="0.35">
      <c r="A20" s="152">
        <v>13</v>
      </c>
      <c r="B20" s="4" t="s">
        <v>40</v>
      </c>
      <c r="C20" t="s">
        <v>368</v>
      </c>
      <c r="D20" s="152" t="s">
        <v>26</v>
      </c>
      <c r="E20" s="153"/>
      <c r="F20" s="154">
        <v>342780</v>
      </c>
      <c r="G20" s="30">
        <v>54819.8743549992</v>
      </c>
      <c r="H20" s="30">
        <v>50841.676129999403</v>
      </c>
      <c r="I20" s="159">
        <v>0.92687991140720205</v>
      </c>
      <c r="J20" s="159">
        <v>0.28233540187473199</v>
      </c>
      <c r="K20" s="160">
        <v>1.44324362380962</v>
      </c>
      <c r="L20" s="160">
        <v>1.44843181269582</v>
      </c>
      <c r="M20" s="156">
        <v>2.2526482409490501E-2</v>
      </c>
      <c r="N20" s="156">
        <v>4.0001439857702797E-2</v>
      </c>
      <c r="O20" s="157">
        <v>13</v>
      </c>
      <c r="P20" s="158" t="s">
        <v>27</v>
      </c>
    </row>
    <row r="21" spans="1:16" ht="16.5" customHeight="1" x14ac:dyDescent="0.35">
      <c r="A21" s="152">
        <v>14</v>
      </c>
      <c r="B21" s="4" t="s">
        <v>41</v>
      </c>
      <c r="C21" t="s">
        <v>369</v>
      </c>
      <c r="D21" s="152" t="s">
        <v>26</v>
      </c>
      <c r="E21" s="153"/>
      <c r="F21" s="154">
        <v>219170</v>
      </c>
      <c r="G21" s="30">
        <v>51274.550127999501</v>
      </c>
      <c r="H21" s="30">
        <v>43113.507197001098</v>
      </c>
      <c r="I21" s="159">
        <v>0.84061102388778597</v>
      </c>
      <c r="J21" s="155">
        <v>-7.1975585239149806E-2</v>
      </c>
      <c r="K21" s="155">
        <v>-0.125721097119876</v>
      </c>
      <c r="L21" s="155">
        <v>-0.12785156861413799</v>
      </c>
      <c r="M21" s="156">
        <v>2.1069644268668201E-2</v>
      </c>
      <c r="N21" s="156">
        <v>3.3921036764912399E-2</v>
      </c>
      <c r="O21" s="157">
        <v>14</v>
      </c>
      <c r="P21" s="158" t="s">
        <v>27</v>
      </c>
    </row>
    <row r="22" spans="1:16" ht="16.5" customHeight="1" x14ac:dyDescent="0.35">
      <c r="A22" s="152">
        <v>15</v>
      </c>
      <c r="B22" s="4" t="s">
        <v>42</v>
      </c>
      <c r="C22" t="s">
        <v>369</v>
      </c>
      <c r="D22" s="152" t="s">
        <v>26</v>
      </c>
      <c r="E22" s="153"/>
      <c r="F22" s="154">
        <v>838753</v>
      </c>
      <c r="G22" s="30">
        <v>50736.4997790005</v>
      </c>
      <c r="H22" s="30">
        <v>31681.2981019996</v>
      </c>
      <c r="I22" s="31">
        <v>0.62365610138604999</v>
      </c>
      <c r="J22" s="159">
        <v>8.6360047119131006E-2</v>
      </c>
      <c r="K22" s="159">
        <v>6.4971057189268294E-2</v>
      </c>
      <c r="L22" s="155">
        <v>-4.0317256208135199E-2</v>
      </c>
      <c r="M22" s="156">
        <v>2.0848549604283201E-2</v>
      </c>
      <c r="N22" s="156">
        <v>2.4926352494765901E-2</v>
      </c>
      <c r="O22" s="157">
        <v>15</v>
      </c>
      <c r="P22" s="158" t="s">
        <v>27</v>
      </c>
    </row>
    <row r="23" spans="1:16" ht="16.5" customHeight="1" x14ac:dyDescent="0.35">
      <c r="A23" s="152">
        <v>16</v>
      </c>
      <c r="B23" s="4" t="s">
        <v>43</v>
      </c>
      <c r="C23" t="s">
        <v>370</v>
      </c>
      <c r="D23" s="152" t="s">
        <v>26</v>
      </c>
      <c r="E23" s="153"/>
      <c r="F23" s="154">
        <v>622477</v>
      </c>
      <c r="G23" s="30">
        <v>48178.233832000202</v>
      </c>
      <c r="H23" s="30">
        <v>29968.002221999799</v>
      </c>
      <c r="I23" s="31">
        <v>0.62155550649537605</v>
      </c>
      <c r="J23" s="155">
        <v>-0.34299027445765501</v>
      </c>
      <c r="K23" s="155">
        <v>-0.263585425571433</v>
      </c>
      <c r="L23" s="155">
        <v>-0.33068666014551201</v>
      </c>
      <c r="M23" s="156">
        <v>1.97973116448397E-2</v>
      </c>
      <c r="N23" s="156">
        <v>2.35783579493654E-2</v>
      </c>
      <c r="O23" s="157">
        <v>16</v>
      </c>
      <c r="P23" s="158" t="s">
        <v>27</v>
      </c>
    </row>
    <row r="24" spans="1:16" ht="16.5" customHeight="1" x14ac:dyDescent="0.35">
      <c r="A24" s="152">
        <v>17</v>
      </c>
      <c r="B24" s="4" t="s">
        <v>44</v>
      </c>
      <c r="C24" t="s">
        <v>368</v>
      </c>
      <c r="D24" s="152" t="s">
        <v>26</v>
      </c>
      <c r="E24" s="153"/>
      <c r="F24" s="154">
        <v>4066076</v>
      </c>
      <c r="G24" s="30">
        <v>45994.626225</v>
      </c>
      <c r="H24" s="30">
        <v>15818.113395999801</v>
      </c>
      <c r="I24" s="31">
        <v>0.34448174393372699</v>
      </c>
      <c r="J24" s="160">
        <v>2.7030061529019398</v>
      </c>
      <c r="K24" s="159">
        <v>0.251751782077069</v>
      </c>
      <c r="L24" s="159">
        <v>7.6425620329957894E-2</v>
      </c>
      <c r="M24" s="156">
        <v>1.8900027604570199E-2</v>
      </c>
      <c r="N24" s="156">
        <v>1.2445445544606099E-2</v>
      </c>
      <c r="O24" s="157">
        <v>17</v>
      </c>
      <c r="P24" s="158" t="s">
        <v>27</v>
      </c>
    </row>
    <row r="25" spans="1:16" ht="16.5" customHeight="1" x14ac:dyDescent="0.35">
      <c r="A25" s="152">
        <v>18</v>
      </c>
      <c r="B25" s="4" t="s">
        <v>45</v>
      </c>
      <c r="C25" t="s">
        <v>370</v>
      </c>
      <c r="D25" s="152" t="s">
        <v>26</v>
      </c>
      <c r="E25" s="153"/>
      <c r="F25" s="154">
        <v>4570520</v>
      </c>
      <c r="G25" s="30">
        <v>43218.853083000402</v>
      </c>
      <c r="H25" s="30">
        <v>12048.7121149998</v>
      </c>
      <c r="I25" s="31">
        <v>0.278783532860859</v>
      </c>
      <c r="J25" s="162">
        <v>-0.63974121385831195</v>
      </c>
      <c r="K25" s="162">
        <v>-0.61949674992384196</v>
      </c>
      <c r="L25" s="155">
        <v>-0.41887257592928301</v>
      </c>
      <c r="M25" s="156">
        <v>1.7759411986754799E-2</v>
      </c>
      <c r="N25" s="156">
        <v>9.4797392556173893E-3</v>
      </c>
      <c r="O25" s="157">
        <v>18</v>
      </c>
      <c r="P25" s="158" t="s">
        <v>27</v>
      </c>
    </row>
    <row r="26" spans="1:16" ht="16.5" customHeight="1" x14ac:dyDescent="0.35">
      <c r="A26" s="152">
        <v>19</v>
      </c>
      <c r="B26" s="4" t="s">
        <v>46</v>
      </c>
      <c r="C26" t="s">
        <v>370</v>
      </c>
      <c r="D26" s="152" t="s">
        <v>26</v>
      </c>
      <c r="E26" s="153"/>
      <c r="F26" s="154">
        <v>2536091</v>
      </c>
      <c r="G26" s="30">
        <v>42963.595252999898</v>
      </c>
      <c r="H26" s="30">
        <v>38698.098107000304</v>
      </c>
      <c r="I26" s="159">
        <v>0.90053705132943895</v>
      </c>
      <c r="J26" s="159">
        <v>0.27465565578111001</v>
      </c>
      <c r="K26" s="159">
        <v>0.12521075175065899</v>
      </c>
      <c r="L26" s="159">
        <v>5.13051897594239E-3</v>
      </c>
      <c r="M26" s="156">
        <v>1.76545219065595E-2</v>
      </c>
      <c r="N26" s="156">
        <v>3.04470615814584E-2</v>
      </c>
      <c r="O26" s="157">
        <v>19</v>
      </c>
      <c r="P26" s="158" t="s">
        <v>27</v>
      </c>
    </row>
    <row r="27" spans="1:16" ht="16.5" customHeight="1" x14ac:dyDescent="0.35">
      <c r="A27" s="152">
        <v>20</v>
      </c>
      <c r="B27" s="4" t="s">
        <v>47</v>
      </c>
      <c r="C27" t="s">
        <v>367</v>
      </c>
      <c r="D27" s="152" t="s">
        <v>26</v>
      </c>
      <c r="E27" s="153"/>
      <c r="F27" s="154">
        <v>7879017</v>
      </c>
      <c r="G27" s="30">
        <v>41978.886283999898</v>
      </c>
      <c r="H27" s="30">
        <v>37401.187103999997</v>
      </c>
      <c r="I27" s="159">
        <v>0.89060994311965103</v>
      </c>
      <c r="J27" s="155">
        <v>-9.4005555177381198E-2</v>
      </c>
      <c r="K27" s="155">
        <v>-0.17956546311020999</v>
      </c>
      <c r="L27" s="155">
        <v>-7.5941551991138403E-2</v>
      </c>
      <c r="M27" s="156">
        <v>1.7249887099755699E-2</v>
      </c>
      <c r="N27" s="156">
        <v>2.9426672179766401E-2</v>
      </c>
      <c r="O27" s="157">
        <v>20</v>
      </c>
      <c r="P27" s="158" t="s">
        <v>27</v>
      </c>
    </row>
    <row r="28" spans="1:16" ht="16.5" customHeight="1" x14ac:dyDescent="0.35">
      <c r="A28" s="152">
        <v>21</v>
      </c>
      <c r="B28" s="4" t="s">
        <v>48</v>
      </c>
      <c r="C28" t="s">
        <v>367</v>
      </c>
      <c r="D28" s="152" t="s">
        <v>26</v>
      </c>
      <c r="E28" s="153"/>
      <c r="F28" s="154">
        <v>1480570</v>
      </c>
      <c r="G28" s="30">
        <v>38235.215440000298</v>
      </c>
      <c r="H28" s="30">
        <v>17871.867643000201</v>
      </c>
      <c r="I28" s="31">
        <v>0.46694872616084498</v>
      </c>
      <c r="J28" s="155">
        <v>-7.5797288802969806E-2</v>
      </c>
      <c r="K28" s="155">
        <v>-9.2546922599078596E-2</v>
      </c>
      <c r="L28" s="155">
        <v>-0.16126359184250599</v>
      </c>
      <c r="M28" s="156">
        <v>1.57115447301951E-2</v>
      </c>
      <c r="N28" s="156">
        <v>1.4061307436803099E-2</v>
      </c>
      <c r="O28" s="157">
        <v>21</v>
      </c>
      <c r="P28" s="158" t="s">
        <v>27</v>
      </c>
    </row>
    <row r="29" spans="1:16" ht="16.5" customHeight="1" x14ac:dyDescent="0.35">
      <c r="A29" s="152">
        <v>22</v>
      </c>
      <c r="B29" s="4" t="s">
        <v>49</v>
      </c>
      <c r="C29" t="s">
        <v>370</v>
      </c>
      <c r="D29" s="152" t="s">
        <v>26</v>
      </c>
      <c r="E29" s="153"/>
      <c r="F29" s="154">
        <v>1050428</v>
      </c>
      <c r="G29" s="30">
        <v>37268.690659999898</v>
      </c>
      <c r="H29" s="30">
        <v>35938.716827999997</v>
      </c>
      <c r="I29" s="159">
        <v>0.96423231733495995</v>
      </c>
      <c r="J29" s="159">
        <v>0.16364635970229799</v>
      </c>
      <c r="K29" s="159">
        <v>4.6065556682934203E-2</v>
      </c>
      <c r="L29" s="159">
        <v>5.5663001321334699E-2</v>
      </c>
      <c r="M29" s="156">
        <v>1.5314382137044599E-2</v>
      </c>
      <c r="N29" s="156">
        <v>2.82760233176103E-2</v>
      </c>
      <c r="O29" s="157">
        <v>22</v>
      </c>
      <c r="P29" s="158" t="s">
        <v>27</v>
      </c>
    </row>
    <row r="30" spans="1:16" ht="16.5" customHeight="1" x14ac:dyDescent="0.35">
      <c r="A30" s="152">
        <v>23</v>
      </c>
      <c r="B30" s="4" t="s">
        <v>50</v>
      </c>
      <c r="C30" t="s">
        <v>367</v>
      </c>
      <c r="D30" s="152" t="s">
        <v>26</v>
      </c>
      <c r="E30" s="153"/>
      <c r="F30" s="154">
        <v>447567</v>
      </c>
      <c r="G30" s="30">
        <v>37182.6364510001</v>
      </c>
      <c r="H30" s="30">
        <v>17081.750781999901</v>
      </c>
      <c r="I30" s="31">
        <v>0.45926713035990202</v>
      </c>
      <c r="J30" s="159">
        <v>0.19480037685391</v>
      </c>
      <c r="K30" s="159">
        <v>5.8853794033347298E-2</v>
      </c>
      <c r="L30" s="155">
        <v>-8.68248364023379E-5</v>
      </c>
      <c r="M30" s="156">
        <v>1.52790208990246E-2</v>
      </c>
      <c r="N30" s="156">
        <v>1.34396557820653E-2</v>
      </c>
      <c r="O30" s="157">
        <v>23</v>
      </c>
      <c r="P30" s="158" t="s">
        <v>27</v>
      </c>
    </row>
    <row r="31" spans="1:16" ht="16.5" customHeight="1" x14ac:dyDescent="0.35">
      <c r="A31" s="152">
        <v>24</v>
      </c>
      <c r="B31" s="4" t="s">
        <v>51</v>
      </c>
      <c r="C31" t="s">
        <v>370</v>
      </c>
      <c r="D31" s="152" t="s">
        <v>26</v>
      </c>
      <c r="E31" s="153"/>
      <c r="F31" s="154">
        <v>6049828</v>
      </c>
      <c r="G31" s="30">
        <v>35639.221700002301</v>
      </c>
      <c r="H31" s="30">
        <v>3364.651824</v>
      </c>
      <c r="I31" s="155">
        <v>9.4439180161286801E-2</v>
      </c>
      <c r="J31" s="162">
        <v>-0.682600670912069</v>
      </c>
      <c r="K31" s="162">
        <v>-0.67762363466914699</v>
      </c>
      <c r="L31" s="162">
        <v>-0.60918643152274798</v>
      </c>
      <c r="M31" s="156">
        <v>1.46448037351224E-2</v>
      </c>
      <c r="N31" s="156">
        <v>2.64725571272875E-3</v>
      </c>
      <c r="O31" s="157">
        <v>24</v>
      </c>
      <c r="P31" s="158" t="s">
        <v>27</v>
      </c>
    </row>
    <row r="32" spans="1:16" ht="16.5" customHeight="1" x14ac:dyDescent="0.35">
      <c r="A32" s="152">
        <v>25</v>
      </c>
      <c r="B32" s="4" t="s">
        <v>52</v>
      </c>
      <c r="C32" t="s">
        <v>370</v>
      </c>
      <c r="D32" s="152" t="s">
        <v>26</v>
      </c>
      <c r="E32" s="153"/>
      <c r="F32" s="154">
        <v>2574674</v>
      </c>
      <c r="G32" s="30">
        <v>35263.544468000502</v>
      </c>
      <c r="H32" s="30">
        <v>35117.038009000396</v>
      </c>
      <c r="I32" s="159">
        <v>0.99583209774674997</v>
      </c>
      <c r="J32" s="159">
        <v>2.41619018037211E-2</v>
      </c>
      <c r="K32" s="159">
        <v>1.8869928076042701E-2</v>
      </c>
      <c r="L32" s="159">
        <v>2.5552521720785901E-2</v>
      </c>
      <c r="M32" s="156">
        <v>1.44904311347123E-2</v>
      </c>
      <c r="N32" s="156">
        <v>2.7629539205314E-2</v>
      </c>
      <c r="O32" s="157">
        <v>25</v>
      </c>
      <c r="P32" s="158" t="s">
        <v>27</v>
      </c>
    </row>
    <row r="33" spans="1:16" ht="16.5" customHeight="1" x14ac:dyDescent="0.35">
      <c r="A33" s="152">
        <v>26</v>
      </c>
      <c r="B33" s="4" t="s">
        <v>53</v>
      </c>
      <c r="C33" t="s">
        <v>369</v>
      </c>
      <c r="D33" s="152" t="s">
        <v>26</v>
      </c>
      <c r="E33" s="153"/>
      <c r="F33" s="154">
        <v>12624601</v>
      </c>
      <c r="G33" s="30">
        <v>34828.10252</v>
      </c>
      <c r="H33" s="30">
        <v>18072.097381</v>
      </c>
      <c r="I33" s="31">
        <v>0.51888779705657895</v>
      </c>
      <c r="J33" s="159">
        <v>0.34443840984846102</v>
      </c>
      <c r="K33" s="159">
        <v>0.34147861132089502</v>
      </c>
      <c r="L33" s="159">
        <v>0.16705525476293501</v>
      </c>
      <c r="M33" s="156">
        <v>1.43115001266173E-2</v>
      </c>
      <c r="N33" s="156">
        <v>1.4218845079776299E-2</v>
      </c>
      <c r="O33" s="157">
        <v>26</v>
      </c>
      <c r="P33" s="158" t="s">
        <v>27</v>
      </c>
    </row>
    <row r="34" spans="1:16" ht="16.5" customHeight="1" x14ac:dyDescent="0.35">
      <c r="A34" s="152">
        <v>27</v>
      </c>
      <c r="B34" s="4" t="s">
        <v>54</v>
      </c>
      <c r="C34" t="s">
        <v>368</v>
      </c>
      <c r="D34" s="152" t="s">
        <v>26</v>
      </c>
      <c r="E34" s="153"/>
      <c r="F34" s="154">
        <v>2264759</v>
      </c>
      <c r="G34" s="30">
        <v>34005.820394000802</v>
      </c>
      <c r="H34" s="30">
        <v>8073.8652379997502</v>
      </c>
      <c r="I34" s="31">
        <v>0.237238750987947</v>
      </c>
      <c r="J34" s="162">
        <v>-0.55413189265639096</v>
      </c>
      <c r="K34" s="155">
        <v>-0.40676340094502</v>
      </c>
      <c r="L34" s="155">
        <v>-0.26479478433803799</v>
      </c>
      <c r="M34" s="156">
        <v>1.39736094607794E-2</v>
      </c>
      <c r="N34" s="156">
        <v>6.3523915677216802E-3</v>
      </c>
      <c r="O34" s="157">
        <v>27</v>
      </c>
      <c r="P34" s="158" t="s">
        <v>27</v>
      </c>
    </row>
    <row r="35" spans="1:16" ht="16.5" customHeight="1" x14ac:dyDescent="0.35">
      <c r="A35" s="152">
        <v>28</v>
      </c>
      <c r="B35" s="4" t="s">
        <v>55</v>
      </c>
      <c r="C35" t="s">
        <v>370</v>
      </c>
      <c r="D35" s="152" t="s">
        <v>26</v>
      </c>
      <c r="E35" s="153"/>
      <c r="F35" s="154">
        <v>13226852</v>
      </c>
      <c r="G35" s="30">
        <v>31103.732297001701</v>
      </c>
      <c r="H35" s="30">
        <v>5165.3661669999701</v>
      </c>
      <c r="I35" s="155">
        <v>0.165958554943718</v>
      </c>
      <c r="J35" s="155">
        <v>-0.18483853704074801</v>
      </c>
      <c r="K35" s="159">
        <v>1.4367175749891801E-2</v>
      </c>
      <c r="L35" s="155">
        <v>-0.28937564057926002</v>
      </c>
      <c r="M35" s="156">
        <v>1.2781088732904299E-2</v>
      </c>
      <c r="N35" s="156">
        <v>4.0640297448876596E-3</v>
      </c>
      <c r="O35" s="157">
        <v>28</v>
      </c>
      <c r="P35" s="158" t="s">
        <v>27</v>
      </c>
    </row>
    <row r="36" spans="1:16" ht="16.5" customHeight="1" x14ac:dyDescent="0.35">
      <c r="A36" s="152">
        <v>29</v>
      </c>
      <c r="B36" s="4" t="s">
        <v>56</v>
      </c>
      <c r="C36" t="s">
        <v>369</v>
      </c>
      <c r="D36" s="152" t="s">
        <v>26</v>
      </c>
      <c r="E36" s="153"/>
      <c r="F36" s="154">
        <v>2297145</v>
      </c>
      <c r="G36" s="30">
        <v>26954.985613999201</v>
      </c>
      <c r="H36" s="30">
        <v>7689.1491259995601</v>
      </c>
      <c r="I36" s="31">
        <v>0.28513729550116601</v>
      </c>
      <c r="J36" s="159">
        <v>0.21269865403051799</v>
      </c>
      <c r="K36" s="159">
        <v>0.244234337745937</v>
      </c>
      <c r="L36" s="159">
        <v>0.12293307164815601</v>
      </c>
      <c r="M36" s="156">
        <v>1.10762933411658E-2</v>
      </c>
      <c r="N36" s="156">
        <v>6.0497029156576596E-3</v>
      </c>
      <c r="O36" s="157">
        <v>29</v>
      </c>
      <c r="P36" s="158" t="s">
        <v>27</v>
      </c>
    </row>
    <row r="37" spans="1:16" ht="16.5" customHeight="1" x14ac:dyDescent="0.35">
      <c r="A37" s="152">
        <v>30</v>
      </c>
      <c r="B37" s="4" t="s">
        <v>57</v>
      </c>
      <c r="C37" t="s">
        <v>369</v>
      </c>
      <c r="D37" s="152" t="s">
        <v>26</v>
      </c>
      <c r="E37" s="153"/>
      <c r="F37" s="154">
        <v>1869540</v>
      </c>
      <c r="G37" s="30">
        <v>26350.0591319995</v>
      </c>
      <c r="H37" s="30">
        <v>6732.3185019999501</v>
      </c>
      <c r="I37" s="31">
        <v>0.25505022459221199</v>
      </c>
      <c r="J37" s="159">
        <v>0.12951616157832599</v>
      </c>
      <c r="K37" s="160">
        <v>0.83571890232673596</v>
      </c>
      <c r="L37" s="159">
        <v>0.32589129542874001</v>
      </c>
      <c r="M37" s="156">
        <v>1.08277180586404E-2</v>
      </c>
      <c r="N37" s="156">
        <v>5.2968834656839303E-3</v>
      </c>
      <c r="O37" s="157">
        <v>30</v>
      </c>
      <c r="P37" s="158" t="s">
        <v>27</v>
      </c>
    </row>
    <row r="38" spans="1:16" ht="16.5" customHeight="1" x14ac:dyDescent="0.35">
      <c r="A38" s="163">
        <v>31</v>
      </c>
      <c r="B38" s="164" t="s">
        <v>58</v>
      </c>
      <c r="C38" t="s">
        <v>371</v>
      </c>
      <c r="D38" s="163" t="s">
        <v>59</v>
      </c>
      <c r="E38" s="165"/>
      <c r="F38" s="166">
        <v>1593250</v>
      </c>
      <c r="G38" s="167">
        <v>26288.625</v>
      </c>
      <c r="H38" s="167">
        <v>1128.520955</v>
      </c>
      <c r="I38" s="168">
        <v>4.2932294742960501E-2</v>
      </c>
      <c r="J38" s="169" t="s">
        <v>32</v>
      </c>
      <c r="K38" s="169" t="s">
        <v>32</v>
      </c>
      <c r="L38" s="169" t="s">
        <v>32</v>
      </c>
      <c r="M38" s="170">
        <v>1.08024736575886E-2</v>
      </c>
      <c r="N38" s="170">
        <v>8.8790273149459405E-4</v>
      </c>
      <c r="O38" s="171">
        <v>31</v>
      </c>
      <c r="P38" s="172" t="s">
        <v>60</v>
      </c>
    </row>
    <row r="39" spans="1:16" ht="16.5" customHeight="1" x14ac:dyDescent="0.35">
      <c r="A39" s="173">
        <v>32</v>
      </c>
      <c r="B39" s="174" t="s">
        <v>61</v>
      </c>
      <c r="C39" t="s">
        <v>370</v>
      </c>
      <c r="D39" s="173" t="s">
        <v>59</v>
      </c>
      <c r="E39" s="173" t="s">
        <v>62</v>
      </c>
      <c r="F39" s="175">
        <v>342309</v>
      </c>
      <c r="G39" s="34">
        <v>26062.068565000001</v>
      </c>
      <c r="H39" s="34">
        <v>15636.9275230002</v>
      </c>
      <c r="I39" s="176">
        <v>0.59934231773559099</v>
      </c>
      <c r="J39" s="177">
        <v>-0.58209613942003202</v>
      </c>
      <c r="K39" s="178">
        <v>-0.36514662344682702</v>
      </c>
      <c r="L39" s="178">
        <v>-0.171569657642546</v>
      </c>
      <c r="M39" s="179">
        <v>1.07093775020823E-2</v>
      </c>
      <c r="N39" s="179">
        <v>1.2302891318358201E-2</v>
      </c>
      <c r="O39" s="180">
        <v>32</v>
      </c>
      <c r="P39" s="181" t="s">
        <v>63</v>
      </c>
    </row>
    <row r="40" spans="1:16" ht="16.5" customHeight="1" x14ac:dyDescent="0.35">
      <c r="A40" s="173">
        <v>33</v>
      </c>
      <c r="B40" s="174" t="s">
        <v>64</v>
      </c>
      <c r="C40" t="s">
        <v>369</v>
      </c>
      <c r="D40" s="173" t="s">
        <v>59</v>
      </c>
      <c r="E40" s="173" t="s">
        <v>62</v>
      </c>
      <c r="F40" s="175">
        <v>205345</v>
      </c>
      <c r="G40" s="34">
        <v>23739.460085999901</v>
      </c>
      <c r="H40" s="34">
        <v>18718.9331199999</v>
      </c>
      <c r="I40" s="35">
        <v>0.78868402127736503</v>
      </c>
      <c r="J40" s="35">
        <v>1.6025292156067301E-2</v>
      </c>
      <c r="K40" s="35">
        <v>2.6509638916049998E-2</v>
      </c>
      <c r="L40" s="178">
        <v>-0.142036709138914</v>
      </c>
      <c r="M40" s="179">
        <v>9.7549754779639002E-3</v>
      </c>
      <c r="N40" s="179">
        <v>1.4727765376684999E-2</v>
      </c>
      <c r="O40" s="180">
        <v>33</v>
      </c>
      <c r="P40" s="181" t="s">
        <v>63</v>
      </c>
    </row>
    <row r="41" spans="1:16" ht="16.5" customHeight="1" x14ac:dyDescent="0.35">
      <c r="A41" s="173">
        <v>34</v>
      </c>
      <c r="B41" s="174" t="s">
        <v>65</v>
      </c>
      <c r="C41" t="s">
        <v>369</v>
      </c>
      <c r="D41" s="173" t="s">
        <v>59</v>
      </c>
      <c r="E41" s="173" t="s">
        <v>62</v>
      </c>
      <c r="F41" s="175">
        <v>797444</v>
      </c>
      <c r="G41" s="34">
        <v>20714.0514370001</v>
      </c>
      <c r="H41" s="34">
        <v>17228.429046000201</v>
      </c>
      <c r="I41" s="35">
        <v>0.83217181365939297</v>
      </c>
      <c r="J41" s="178">
        <v>-6.8721115156383905E-2</v>
      </c>
      <c r="K41" s="178">
        <v>-0.192775763895316</v>
      </c>
      <c r="L41" s="178">
        <v>-2.8232587372972399E-2</v>
      </c>
      <c r="M41" s="179">
        <v>8.5117800946275107E-3</v>
      </c>
      <c r="N41" s="179">
        <v>1.35550599583721E-2</v>
      </c>
      <c r="O41" s="180">
        <v>34</v>
      </c>
      <c r="P41" s="181" t="s">
        <v>63</v>
      </c>
    </row>
    <row r="42" spans="1:16" ht="16.5" customHeight="1" x14ac:dyDescent="0.35">
      <c r="A42" s="173">
        <v>35</v>
      </c>
      <c r="B42" s="174" t="s">
        <v>66</v>
      </c>
      <c r="C42" t="s">
        <v>368</v>
      </c>
      <c r="D42" s="173" t="s">
        <v>59</v>
      </c>
      <c r="E42" s="173" t="s">
        <v>62</v>
      </c>
      <c r="F42" s="175">
        <v>408594</v>
      </c>
      <c r="G42" s="34">
        <v>20525.90367</v>
      </c>
      <c r="H42" s="34">
        <v>19046.586165999899</v>
      </c>
      <c r="I42" s="35">
        <v>0.92723285683591095</v>
      </c>
      <c r="J42" s="177">
        <v>-0.60379290483605996</v>
      </c>
      <c r="K42" s="177">
        <v>-0.79453196611926502</v>
      </c>
      <c r="L42" s="177">
        <v>-0.77410113679311099</v>
      </c>
      <c r="M42" s="179">
        <v>8.4344667586598501E-3</v>
      </c>
      <c r="N42" s="179">
        <v>1.4985557696124901E-2</v>
      </c>
      <c r="O42" s="180">
        <v>35</v>
      </c>
      <c r="P42" s="181" t="s">
        <v>63</v>
      </c>
    </row>
    <row r="43" spans="1:16" ht="16.5" customHeight="1" x14ac:dyDescent="0.35">
      <c r="A43" s="173">
        <v>36</v>
      </c>
      <c r="B43" s="174" t="s">
        <v>67</v>
      </c>
      <c r="C43" t="s">
        <v>370</v>
      </c>
      <c r="D43" s="173" t="s">
        <v>59</v>
      </c>
      <c r="E43" s="173" t="s">
        <v>62</v>
      </c>
      <c r="F43" s="175">
        <v>1095033</v>
      </c>
      <c r="G43" s="34">
        <v>15618.684257999899</v>
      </c>
      <c r="H43" s="34">
        <v>5098.1387299999396</v>
      </c>
      <c r="I43" s="176">
        <v>0.32574142184343302</v>
      </c>
      <c r="J43" s="182">
        <v>0.66335983959534295</v>
      </c>
      <c r="K43" s="35">
        <v>0.31344079887499898</v>
      </c>
      <c r="L43" s="178">
        <v>-3.0294402882084299E-2</v>
      </c>
      <c r="M43" s="179">
        <v>6.4180011416814804E-3</v>
      </c>
      <c r="N43" s="179">
        <v>4.0111362432834197E-3</v>
      </c>
      <c r="O43" s="180">
        <v>36</v>
      </c>
      <c r="P43" s="181" t="s">
        <v>63</v>
      </c>
    </row>
    <row r="44" spans="1:16" ht="16.5" customHeight="1" x14ac:dyDescent="0.35">
      <c r="A44" s="173">
        <v>37</v>
      </c>
      <c r="B44" s="174" t="s">
        <v>68</v>
      </c>
      <c r="C44" t="s">
        <v>370</v>
      </c>
      <c r="D44" s="173" t="s">
        <v>59</v>
      </c>
      <c r="E44" s="173" t="s">
        <v>62</v>
      </c>
      <c r="F44" s="175">
        <v>43172</v>
      </c>
      <c r="G44" s="34">
        <v>15608.290021000001</v>
      </c>
      <c r="H44" s="34">
        <v>14092.075935000001</v>
      </c>
      <c r="I44" s="35">
        <v>0.90192264080906503</v>
      </c>
      <c r="J44" s="177">
        <v>-0.72408726482895203</v>
      </c>
      <c r="K44" s="178">
        <v>-3.8819330968051799E-3</v>
      </c>
      <c r="L44" s="35">
        <v>0.173386131207032</v>
      </c>
      <c r="M44" s="179">
        <v>6.4137299608425496E-3</v>
      </c>
      <c r="N44" s="179">
        <v>1.1087426121489901E-2</v>
      </c>
      <c r="O44" s="180">
        <v>37</v>
      </c>
      <c r="P44" s="181" t="s">
        <v>63</v>
      </c>
    </row>
    <row r="45" spans="1:16" ht="16.5" customHeight="1" x14ac:dyDescent="0.35">
      <c r="A45" s="163">
        <v>38</v>
      </c>
      <c r="B45" s="164" t="s">
        <v>69</v>
      </c>
      <c r="C45" t="s">
        <v>370</v>
      </c>
      <c r="D45" s="163" t="s">
        <v>59</v>
      </c>
      <c r="E45" s="165"/>
      <c r="F45" s="166">
        <v>1669555</v>
      </c>
      <c r="G45" s="167">
        <v>14580.620650999899</v>
      </c>
      <c r="H45" s="167">
        <v>4213.3141319999304</v>
      </c>
      <c r="I45" s="183">
        <v>0.28897973657671</v>
      </c>
      <c r="J45" s="168">
        <v>-0.116809689511176</v>
      </c>
      <c r="K45" s="168">
        <v>-6.2115477644621803E-2</v>
      </c>
      <c r="L45" s="168">
        <v>-7.4922667544493102E-2</v>
      </c>
      <c r="M45" s="170">
        <v>5.9914419447087098E-3</v>
      </c>
      <c r="N45" s="170">
        <v>3.3149700144004001E-3</v>
      </c>
      <c r="O45" s="171">
        <v>38</v>
      </c>
      <c r="P45" s="172" t="s">
        <v>60</v>
      </c>
    </row>
    <row r="46" spans="1:16" ht="16.5" customHeight="1" x14ac:dyDescent="0.35">
      <c r="A46" s="173">
        <v>39</v>
      </c>
      <c r="B46" s="174" t="s">
        <v>70</v>
      </c>
      <c r="C46" t="s">
        <v>369</v>
      </c>
      <c r="D46" s="173" t="s">
        <v>59</v>
      </c>
      <c r="E46" s="173" t="s">
        <v>62</v>
      </c>
      <c r="F46" s="175">
        <v>3124360</v>
      </c>
      <c r="G46" s="34">
        <v>14221.734457999901</v>
      </c>
      <c r="H46" s="34">
        <v>5572.9622830000399</v>
      </c>
      <c r="I46" s="176">
        <v>0.39218281853996501</v>
      </c>
      <c r="J46" s="35">
        <v>0.31067227364740002</v>
      </c>
      <c r="K46" s="35">
        <v>0.304852277135369</v>
      </c>
      <c r="L46" s="35">
        <v>0.19531060509855799</v>
      </c>
      <c r="M46" s="179">
        <v>5.84396908730538E-3</v>
      </c>
      <c r="N46" s="179">
        <v>4.3847200281647196E-3</v>
      </c>
      <c r="O46" s="180">
        <v>39</v>
      </c>
      <c r="P46" s="181" t="s">
        <v>63</v>
      </c>
    </row>
    <row r="47" spans="1:16" ht="16.5" customHeight="1" x14ac:dyDescent="0.35">
      <c r="A47" s="173">
        <v>40</v>
      </c>
      <c r="B47" s="174" t="s">
        <v>71</v>
      </c>
      <c r="C47" t="s">
        <v>369</v>
      </c>
      <c r="D47" s="173" t="s">
        <v>59</v>
      </c>
      <c r="E47" s="173" t="s">
        <v>62</v>
      </c>
      <c r="F47" s="175">
        <v>457787</v>
      </c>
      <c r="G47" s="34">
        <v>13994.8603589999</v>
      </c>
      <c r="H47" s="34">
        <v>13664.3977719999</v>
      </c>
      <c r="I47" s="35">
        <v>0.97636443775433701</v>
      </c>
      <c r="J47" s="178">
        <v>-9.3232133064891295E-2</v>
      </c>
      <c r="K47" s="178">
        <v>-1.8992965370710501E-2</v>
      </c>
      <c r="L47" s="178">
        <v>-2.0498413688737099E-2</v>
      </c>
      <c r="M47" s="179">
        <v>5.7507423978898197E-3</v>
      </c>
      <c r="N47" s="179">
        <v>1.0750935596040701E-2</v>
      </c>
      <c r="O47" s="180">
        <v>40</v>
      </c>
      <c r="P47" s="181" t="s">
        <v>63</v>
      </c>
    </row>
    <row r="48" spans="1:16" ht="16.5" customHeight="1" x14ac:dyDescent="0.35">
      <c r="A48" s="173">
        <v>41</v>
      </c>
      <c r="B48" s="174" t="s">
        <v>72</v>
      </c>
      <c r="C48" t="s">
        <v>368</v>
      </c>
      <c r="D48" s="173" t="s">
        <v>59</v>
      </c>
      <c r="E48" s="173" t="s">
        <v>62</v>
      </c>
      <c r="F48" s="175">
        <v>441516</v>
      </c>
      <c r="G48" s="34">
        <v>12406.5058989998</v>
      </c>
      <c r="H48" s="34">
        <v>10893.0358269999</v>
      </c>
      <c r="I48" s="35">
        <v>0.87772380966877195</v>
      </c>
      <c r="J48" s="182">
        <v>0.70109370587165698</v>
      </c>
      <c r="K48" s="35">
        <v>0.26328237268598598</v>
      </c>
      <c r="L48" s="35">
        <v>0.38825728156043299</v>
      </c>
      <c r="M48" s="179">
        <v>5.0980586910369698E-3</v>
      </c>
      <c r="N48" s="179">
        <v>8.5704711305619203E-3</v>
      </c>
      <c r="O48" s="180">
        <v>41</v>
      </c>
      <c r="P48" s="181" t="s">
        <v>63</v>
      </c>
    </row>
    <row r="49" spans="1:16" ht="16.5" customHeight="1" x14ac:dyDescent="0.35">
      <c r="A49" s="163">
        <v>42</v>
      </c>
      <c r="B49" s="164" t="s">
        <v>73</v>
      </c>
      <c r="C49" t="s">
        <v>369</v>
      </c>
      <c r="D49" s="163" t="s">
        <v>59</v>
      </c>
      <c r="E49" s="165"/>
      <c r="F49" s="166">
        <v>2071278</v>
      </c>
      <c r="G49" s="167">
        <v>11941.352262999701</v>
      </c>
      <c r="H49" s="167">
        <v>1994.4550930000401</v>
      </c>
      <c r="I49" s="168">
        <v>0.16671344683766001</v>
      </c>
      <c r="J49" s="184">
        <v>-0.715517648681122</v>
      </c>
      <c r="K49" s="184">
        <v>-0.50788548084195495</v>
      </c>
      <c r="L49" s="168">
        <v>-0.467486148545601</v>
      </c>
      <c r="M49" s="170">
        <v>4.9069186105031998E-3</v>
      </c>
      <c r="N49" s="170">
        <v>1.56920624032013E-3</v>
      </c>
      <c r="O49" s="171">
        <v>42</v>
      </c>
      <c r="P49" s="172" t="s">
        <v>60</v>
      </c>
    </row>
    <row r="50" spans="1:16" ht="16.5" customHeight="1" x14ac:dyDescent="0.35">
      <c r="A50" s="173">
        <v>43</v>
      </c>
      <c r="B50" s="174" t="s">
        <v>74</v>
      </c>
      <c r="C50" t="s">
        <v>368</v>
      </c>
      <c r="D50" s="173" t="s">
        <v>59</v>
      </c>
      <c r="E50" s="173" t="s">
        <v>62</v>
      </c>
      <c r="F50" s="175">
        <v>4901236</v>
      </c>
      <c r="G50" s="34">
        <v>11807.588077</v>
      </c>
      <c r="H50" s="34">
        <v>6024.7952239999004</v>
      </c>
      <c r="I50" s="176">
        <v>0.510178481080797</v>
      </c>
      <c r="J50" s="178">
        <v>-1.4542423006447299E-3</v>
      </c>
      <c r="K50" s="178">
        <v>-2.5685890125774699E-2</v>
      </c>
      <c r="L50" s="178">
        <v>-0.12222461939377</v>
      </c>
      <c r="M50" s="179">
        <v>4.8519524760784801E-3</v>
      </c>
      <c r="N50" s="179">
        <v>4.7402151571789702E-3</v>
      </c>
      <c r="O50" s="180">
        <v>43</v>
      </c>
      <c r="P50" s="181" t="s">
        <v>63</v>
      </c>
    </row>
    <row r="51" spans="1:16" ht="16.5" customHeight="1" x14ac:dyDescent="0.35">
      <c r="A51" s="163">
        <v>44</v>
      </c>
      <c r="B51" s="164" t="s">
        <v>75</v>
      </c>
      <c r="C51" t="s">
        <v>370</v>
      </c>
      <c r="D51" s="163" t="s">
        <v>59</v>
      </c>
      <c r="E51" s="165"/>
      <c r="F51" s="166">
        <v>989180</v>
      </c>
      <c r="G51" s="167">
        <v>11750.5345019999</v>
      </c>
      <c r="H51" s="167">
        <v>2827.0316800002101</v>
      </c>
      <c r="I51" s="183">
        <v>0.24052644063252199</v>
      </c>
      <c r="J51" s="184">
        <v>-0.54769002989486004</v>
      </c>
      <c r="K51" s="168">
        <v>-0.44492670182960797</v>
      </c>
      <c r="L51" s="168">
        <v>-0.40242322163705302</v>
      </c>
      <c r="M51" s="170">
        <v>4.8285081254892202E-3</v>
      </c>
      <c r="N51" s="170">
        <v>2.2242645469475902E-3</v>
      </c>
      <c r="O51" s="171">
        <v>44</v>
      </c>
      <c r="P51" s="172" t="s">
        <v>60</v>
      </c>
    </row>
    <row r="52" spans="1:16" ht="16.5" customHeight="1" x14ac:dyDescent="0.35">
      <c r="A52" s="173">
        <v>45</v>
      </c>
      <c r="B52" s="174" t="s">
        <v>76</v>
      </c>
      <c r="C52" t="s">
        <v>367</v>
      </c>
      <c r="D52" s="173" t="s">
        <v>59</v>
      </c>
      <c r="E52" s="173" t="s">
        <v>62</v>
      </c>
      <c r="F52" s="175">
        <v>601227</v>
      </c>
      <c r="G52" s="34">
        <v>11582.9295639999</v>
      </c>
      <c r="H52" s="34">
        <v>5510.5975950001002</v>
      </c>
      <c r="I52" s="176">
        <v>0.47597694173556698</v>
      </c>
      <c r="J52" s="185" t="s">
        <v>32</v>
      </c>
      <c r="K52" s="185" t="s">
        <v>32</v>
      </c>
      <c r="L52" s="185" t="s">
        <v>32</v>
      </c>
      <c r="M52" s="179">
        <v>4.7596362112058898E-3</v>
      </c>
      <c r="N52" s="179">
        <v>4.33565246182613E-3</v>
      </c>
      <c r="O52" s="180">
        <v>45</v>
      </c>
      <c r="P52" s="181" t="s">
        <v>63</v>
      </c>
    </row>
    <row r="53" spans="1:16" ht="16.5" customHeight="1" x14ac:dyDescent="0.35">
      <c r="A53" s="163">
        <v>46</v>
      </c>
      <c r="B53" s="164" t="s">
        <v>77</v>
      </c>
      <c r="C53" t="s">
        <v>367</v>
      </c>
      <c r="D53" s="163" t="s">
        <v>59</v>
      </c>
      <c r="E53" s="165"/>
      <c r="F53" s="166">
        <v>6621</v>
      </c>
      <c r="G53" s="167">
        <v>10339.655616</v>
      </c>
      <c r="H53" s="167">
        <v>10306.659460000001</v>
      </c>
      <c r="I53" s="186">
        <v>0.99679307073344603</v>
      </c>
      <c r="J53" s="184">
        <v>-0.96559205643131096</v>
      </c>
      <c r="K53" s="184">
        <v>-0.70197252144788302</v>
      </c>
      <c r="L53" s="184">
        <v>-0.69930606565700903</v>
      </c>
      <c r="M53" s="170">
        <v>4.2487523565944299E-3</v>
      </c>
      <c r="N53" s="170">
        <v>8.10911932700315E-3</v>
      </c>
      <c r="O53" s="171">
        <v>46</v>
      </c>
      <c r="P53" s="172" t="s">
        <v>60</v>
      </c>
    </row>
    <row r="54" spans="1:16" ht="16.5" customHeight="1" x14ac:dyDescent="0.35">
      <c r="A54" s="163">
        <v>47</v>
      </c>
      <c r="B54" s="164" t="s">
        <v>78</v>
      </c>
      <c r="C54" t="s">
        <v>367</v>
      </c>
      <c r="D54" s="163" t="s">
        <v>59</v>
      </c>
      <c r="E54" s="165"/>
      <c r="F54" s="166">
        <v>1114848</v>
      </c>
      <c r="G54" s="167">
        <v>9600.1982520001802</v>
      </c>
      <c r="H54" s="167">
        <v>1946.0433829999999</v>
      </c>
      <c r="I54" s="183">
        <v>0.202648649763287</v>
      </c>
      <c r="J54" s="186">
        <v>0.42073097693811301</v>
      </c>
      <c r="K54" s="186">
        <v>0.45842629628192499</v>
      </c>
      <c r="L54" s="187">
        <v>2.02478803924524</v>
      </c>
      <c r="M54" s="170">
        <v>3.9448958903274501E-3</v>
      </c>
      <c r="N54" s="170">
        <v>1.53111666001158E-3</v>
      </c>
      <c r="O54" s="171">
        <v>47</v>
      </c>
      <c r="P54" s="172" t="s">
        <v>60</v>
      </c>
    </row>
    <row r="55" spans="1:16" ht="16.5" customHeight="1" x14ac:dyDescent="0.35">
      <c r="A55" s="173">
        <v>48</v>
      </c>
      <c r="B55" s="174" t="s">
        <v>79</v>
      </c>
      <c r="C55" t="s">
        <v>369</v>
      </c>
      <c r="D55" s="173" t="s">
        <v>59</v>
      </c>
      <c r="E55" s="173" t="s">
        <v>62</v>
      </c>
      <c r="F55" s="175">
        <v>84791</v>
      </c>
      <c r="G55" s="34">
        <v>9313.6782480000202</v>
      </c>
      <c r="H55" s="34">
        <v>8647.1543020000099</v>
      </c>
      <c r="I55" s="35">
        <v>0.92830258494863205</v>
      </c>
      <c r="J55" s="178">
        <v>-0.20366981087803299</v>
      </c>
      <c r="K55" s="178">
        <v>-1.9085291808946799E-2</v>
      </c>
      <c r="L55" s="178">
        <v>-1.13567533474512E-2</v>
      </c>
      <c r="M55" s="179">
        <v>3.8271596148248799E-3</v>
      </c>
      <c r="N55" s="179">
        <v>6.8034464848736702E-3</v>
      </c>
      <c r="O55" s="180">
        <v>48</v>
      </c>
      <c r="P55" s="181" t="s">
        <v>63</v>
      </c>
    </row>
    <row r="56" spans="1:16" ht="16.5" customHeight="1" x14ac:dyDescent="0.35">
      <c r="A56" s="173">
        <v>49</v>
      </c>
      <c r="B56" s="174" t="s">
        <v>80</v>
      </c>
      <c r="C56" t="s">
        <v>368</v>
      </c>
      <c r="D56" s="173" t="s">
        <v>59</v>
      </c>
      <c r="E56" s="173" t="s">
        <v>62</v>
      </c>
      <c r="F56" s="175">
        <v>28</v>
      </c>
      <c r="G56" s="34">
        <v>7839.7491490000002</v>
      </c>
      <c r="H56" s="34">
        <v>7839.7491490000002</v>
      </c>
      <c r="I56" s="35">
        <v>1</v>
      </c>
      <c r="J56" s="35">
        <v>0.47368421052631599</v>
      </c>
      <c r="K56" s="182">
        <v>1.7927118047008701</v>
      </c>
      <c r="L56" s="182">
        <v>1.7927118047008701</v>
      </c>
      <c r="M56" s="179">
        <v>3.2214953678320799E-3</v>
      </c>
      <c r="N56" s="179">
        <v>6.1681926709367197E-3</v>
      </c>
      <c r="O56" s="180">
        <v>49</v>
      </c>
      <c r="P56" s="181" t="s">
        <v>63</v>
      </c>
    </row>
    <row r="57" spans="1:16" ht="16.5" customHeight="1" x14ac:dyDescent="0.35">
      <c r="A57" s="173">
        <v>50</v>
      </c>
      <c r="B57" s="174" t="s">
        <v>81</v>
      </c>
      <c r="C57" t="s">
        <v>370</v>
      </c>
      <c r="D57" s="173" t="s">
        <v>59</v>
      </c>
      <c r="E57" s="173" t="s">
        <v>62</v>
      </c>
      <c r="F57" s="175">
        <v>59031</v>
      </c>
      <c r="G57" s="34">
        <v>7397.1229220000096</v>
      </c>
      <c r="H57" s="34">
        <v>6663.4933539999802</v>
      </c>
      <c r="I57" s="35">
        <v>0.90081373533869902</v>
      </c>
      <c r="J57" s="177">
        <v>-0.94662977835450801</v>
      </c>
      <c r="K57" s="178">
        <v>-0.39275754660946799</v>
      </c>
      <c r="L57" s="178">
        <v>-0.445760035728133</v>
      </c>
      <c r="M57" s="179">
        <v>3.0396122089629799E-3</v>
      </c>
      <c r="N57" s="179">
        <v>5.24273290991982E-3</v>
      </c>
      <c r="O57" s="180">
        <v>50</v>
      </c>
      <c r="P57" s="181" t="s">
        <v>63</v>
      </c>
    </row>
    <row r="58" spans="1:16" ht="16.5" customHeight="1" x14ac:dyDescent="0.35">
      <c r="A58" s="173">
        <v>51</v>
      </c>
      <c r="B58" s="174" t="s">
        <v>82</v>
      </c>
      <c r="C58" t="s">
        <v>367</v>
      </c>
      <c r="D58" s="173" t="s">
        <v>59</v>
      </c>
      <c r="E58" s="173" t="s">
        <v>62</v>
      </c>
      <c r="F58" s="175">
        <v>247720</v>
      </c>
      <c r="G58" s="34">
        <v>6916.22989100001</v>
      </c>
      <c r="H58" s="34">
        <v>4997.0065559999903</v>
      </c>
      <c r="I58" s="35">
        <v>0.72229912140906705</v>
      </c>
      <c r="J58" s="178">
        <v>-0.36708482370975998</v>
      </c>
      <c r="K58" s="178">
        <v>-0.19457155014758201</v>
      </c>
      <c r="L58" s="178">
        <v>-0.286238484653077</v>
      </c>
      <c r="M58" s="179">
        <v>2.8420045250504402E-3</v>
      </c>
      <c r="N58" s="179">
        <v>3.9315670220485899E-3</v>
      </c>
      <c r="O58" s="180">
        <v>51</v>
      </c>
      <c r="P58" s="181" t="s">
        <v>63</v>
      </c>
    </row>
    <row r="59" spans="1:16" ht="16.5" customHeight="1" x14ac:dyDescent="0.35">
      <c r="A59" s="173">
        <v>52</v>
      </c>
      <c r="B59" s="174" t="s">
        <v>83</v>
      </c>
      <c r="C59" t="s">
        <v>369</v>
      </c>
      <c r="D59" s="173" t="s">
        <v>59</v>
      </c>
      <c r="E59" s="173" t="s">
        <v>62</v>
      </c>
      <c r="F59" s="175">
        <v>3963922</v>
      </c>
      <c r="G59" s="34">
        <v>6741.6070879999797</v>
      </c>
      <c r="H59" s="34">
        <v>6741.6070879999797</v>
      </c>
      <c r="I59" s="35">
        <v>1</v>
      </c>
      <c r="J59" s="178">
        <v>-2.48956061729807E-2</v>
      </c>
      <c r="K59" s="178">
        <v>-9.6946894441694003E-3</v>
      </c>
      <c r="L59" s="178">
        <v>-1.3218391503994301E-2</v>
      </c>
      <c r="M59" s="179">
        <v>2.7702488425291102E-3</v>
      </c>
      <c r="N59" s="179">
        <v>5.3041915806503401E-3</v>
      </c>
      <c r="O59" s="180">
        <v>52</v>
      </c>
      <c r="P59" s="181" t="s">
        <v>63</v>
      </c>
    </row>
    <row r="60" spans="1:16" ht="16.5" customHeight="1" x14ac:dyDescent="0.35">
      <c r="A60" s="163">
        <v>53</v>
      </c>
      <c r="B60" s="164" t="s">
        <v>84</v>
      </c>
      <c r="C60" t="s">
        <v>367</v>
      </c>
      <c r="D60" s="163" t="s">
        <v>59</v>
      </c>
      <c r="E60" s="165"/>
      <c r="F60" s="166">
        <v>428741</v>
      </c>
      <c r="G60" s="167">
        <v>6035.6945590000096</v>
      </c>
      <c r="H60" s="167">
        <v>3013.663591</v>
      </c>
      <c r="I60" s="183">
        <v>0.499826763836901</v>
      </c>
      <c r="J60" s="169" t="s">
        <v>32</v>
      </c>
      <c r="K60" s="187">
        <v>1.43515964726821</v>
      </c>
      <c r="L60" s="187">
        <v>1.18285484907021</v>
      </c>
      <c r="M60" s="170">
        <v>2.4801765584486898E-3</v>
      </c>
      <c r="N60" s="170">
        <v>2.3711036311724501E-3</v>
      </c>
      <c r="O60" s="171">
        <v>53</v>
      </c>
      <c r="P60" s="172" t="s">
        <v>60</v>
      </c>
    </row>
    <row r="61" spans="1:16" ht="16.5" customHeight="1" x14ac:dyDescent="0.35">
      <c r="A61" s="163">
        <v>54</v>
      </c>
      <c r="B61" s="164" t="s">
        <v>85</v>
      </c>
      <c r="C61" t="s">
        <v>370</v>
      </c>
      <c r="D61" s="163" t="s">
        <v>59</v>
      </c>
      <c r="E61" s="165"/>
      <c r="F61" s="166">
        <v>942876</v>
      </c>
      <c r="G61" s="167">
        <v>5998.2796049999697</v>
      </c>
      <c r="H61" s="167">
        <v>1702.73549200002</v>
      </c>
      <c r="I61" s="183">
        <v>0.28386125687978397</v>
      </c>
      <c r="J61" s="168">
        <v>-5.3032098666238203E-2</v>
      </c>
      <c r="K61" s="168">
        <v>-5.7090428476890401E-2</v>
      </c>
      <c r="L61" s="168">
        <v>-0.22014754486243701</v>
      </c>
      <c r="M61" s="170">
        <v>2.4648020740477201E-3</v>
      </c>
      <c r="N61" s="170">
        <v>1.33968579640562E-3</v>
      </c>
      <c r="O61" s="171">
        <v>54</v>
      </c>
      <c r="P61" s="172" t="s">
        <v>60</v>
      </c>
    </row>
    <row r="62" spans="1:16" ht="16.5" customHeight="1" x14ac:dyDescent="0.35">
      <c r="A62" s="163">
        <v>55</v>
      </c>
      <c r="B62" s="164" t="s">
        <v>86</v>
      </c>
      <c r="C62" t="s">
        <v>368</v>
      </c>
      <c r="D62" s="163" t="s">
        <v>59</v>
      </c>
      <c r="E62" s="165"/>
      <c r="F62" s="166">
        <v>1009</v>
      </c>
      <c r="G62" s="167">
        <v>5747.9935349999996</v>
      </c>
      <c r="H62" s="167">
        <v>5731.9886749999996</v>
      </c>
      <c r="I62" s="186">
        <v>0.99720753737155099</v>
      </c>
      <c r="J62" s="169" t="s">
        <v>32</v>
      </c>
      <c r="K62" s="169" t="s">
        <v>32</v>
      </c>
      <c r="L62" s="169" t="s">
        <v>32</v>
      </c>
      <c r="M62" s="170">
        <v>2.3619549803699002E-3</v>
      </c>
      <c r="N62" s="170">
        <v>4.5098395194873202E-3</v>
      </c>
      <c r="O62" s="171">
        <v>55</v>
      </c>
      <c r="P62" s="172" t="s">
        <v>60</v>
      </c>
    </row>
    <row r="63" spans="1:16" ht="16.5" customHeight="1" x14ac:dyDescent="0.35">
      <c r="A63" s="173">
        <v>56</v>
      </c>
      <c r="B63" s="174" t="s">
        <v>87</v>
      </c>
      <c r="C63" t="s">
        <v>368</v>
      </c>
      <c r="D63" s="173" t="s">
        <v>59</v>
      </c>
      <c r="E63" s="173" t="s">
        <v>62</v>
      </c>
      <c r="F63" s="175">
        <v>6</v>
      </c>
      <c r="G63" s="34">
        <v>5596.5957950000002</v>
      </c>
      <c r="H63" s="34">
        <v>5596.5957950000002</v>
      </c>
      <c r="I63" s="35">
        <v>1</v>
      </c>
      <c r="J63" s="178">
        <v>-0.33333333333333298</v>
      </c>
      <c r="K63" s="178">
        <v>-0.335389536330227</v>
      </c>
      <c r="L63" s="178">
        <v>-0.335389536330227</v>
      </c>
      <c r="M63" s="179">
        <v>2.2997428982176999E-3</v>
      </c>
      <c r="N63" s="179">
        <v>4.4033145077502301E-3</v>
      </c>
      <c r="O63" s="180">
        <v>56</v>
      </c>
      <c r="P63" s="181" t="s">
        <v>63</v>
      </c>
    </row>
    <row r="64" spans="1:16" ht="16.5" customHeight="1" x14ac:dyDescent="0.35">
      <c r="A64" s="173">
        <v>57</v>
      </c>
      <c r="B64" s="174" t="s">
        <v>88</v>
      </c>
      <c r="C64" t="s">
        <v>370</v>
      </c>
      <c r="D64" s="173" t="s">
        <v>59</v>
      </c>
      <c r="E64" s="173" t="s">
        <v>62</v>
      </c>
      <c r="F64" s="175">
        <v>292411</v>
      </c>
      <c r="G64" s="34">
        <v>4631.87614700001</v>
      </c>
      <c r="H64" s="34">
        <v>2858.9129079999698</v>
      </c>
      <c r="I64" s="176">
        <v>0.61694891475329505</v>
      </c>
      <c r="J64" s="178">
        <v>-0.32575738361113898</v>
      </c>
      <c r="K64" s="178">
        <v>-0.13106253801581799</v>
      </c>
      <c r="L64" s="178">
        <v>-0.163617753379593</v>
      </c>
      <c r="M64" s="179">
        <v>1.9033220666041001E-3</v>
      </c>
      <c r="N64" s="179">
        <v>2.2493482011756898E-3</v>
      </c>
      <c r="O64" s="180">
        <v>57</v>
      </c>
      <c r="P64" s="181" t="s">
        <v>63</v>
      </c>
    </row>
    <row r="65" spans="1:16" ht="16.5" customHeight="1" x14ac:dyDescent="0.35">
      <c r="A65" s="173">
        <v>58</v>
      </c>
      <c r="B65" s="174" t="s">
        <v>89</v>
      </c>
      <c r="C65" t="s">
        <v>368</v>
      </c>
      <c r="D65" s="173" t="s">
        <v>59</v>
      </c>
      <c r="E65" s="173" t="s">
        <v>62</v>
      </c>
      <c r="F65" s="175">
        <v>116999</v>
      </c>
      <c r="G65" s="34">
        <v>3685.63499</v>
      </c>
      <c r="H65" s="34">
        <v>3676.1077620000001</v>
      </c>
      <c r="I65" s="35">
        <v>0.99740438450577296</v>
      </c>
      <c r="J65" s="35">
        <v>0.312089415035537</v>
      </c>
      <c r="K65" s="178">
        <v>-0.17791247332548199</v>
      </c>
      <c r="L65" s="178">
        <v>-0.17358978973948699</v>
      </c>
      <c r="M65" s="179">
        <v>1.5144943826830601E-3</v>
      </c>
      <c r="N65" s="179">
        <v>2.8923043995654199E-3</v>
      </c>
      <c r="O65" s="180">
        <v>58</v>
      </c>
      <c r="P65" s="181" t="s">
        <v>63</v>
      </c>
    </row>
    <row r="66" spans="1:16" ht="16.5" customHeight="1" x14ac:dyDescent="0.35">
      <c r="A66" s="163">
        <v>59</v>
      </c>
      <c r="B66" s="164" t="s">
        <v>90</v>
      </c>
      <c r="C66" t="s">
        <v>368</v>
      </c>
      <c r="D66" s="163" t="s">
        <v>59</v>
      </c>
      <c r="E66" s="165"/>
      <c r="F66" s="166">
        <v>25</v>
      </c>
      <c r="G66" s="167">
        <v>3667.4352560000002</v>
      </c>
      <c r="H66" s="167">
        <v>3651.8324699999998</v>
      </c>
      <c r="I66" s="186">
        <v>0.99573604546105199</v>
      </c>
      <c r="J66" s="169" t="s">
        <v>32</v>
      </c>
      <c r="K66" s="169" t="s">
        <v>32</v>
      </c>
      <c r="L66" s="169" t="s">
        <v>32</v>
      </c>
      <c r="M66" s="170">
        <v>1.5070157813066099E-3</v>
      </c>
      <c r="N66" s="170">
        <v>2.8732049774597601E-3</v>
      </c>
      <c r="O66" s="171">
        <v>59</v>
      </c>
      <c r="P66" s="172" t="s">
        <v>60</v>
      </c>
    </row>
    <row r="67" spans="1:16" ht="16.5" customHeight="1" x14ac:dyDescent="0.35">
      <c r="A67" s="163">
        <v>60</v>
      </c>
      <c r="B67" s="164" t="s">
        <v>91</v>
      </c>
      <c r="C67" t="s">
        <v>367</v>
      </c>
      <c r="D67" s="163" t="s">
        <v>59</v>
      </c>
      <c r="E67" s="165"/>
      <c r="F67" s="166">
        <v>321070</v>
      </c>
      <c r="G67" s="167">
        <v>3318.96822600004</v>
      </c>
      <c r="H67" s="167">
        <v>1285.8395819999901</v>
      </c>
      <c r="I67" s="183">
        <v>0.38744571630483898</v>
      </c>
      <c r="J67" s="184">
        <v>-0.74848698011728199</v>
      </c>
      <c r="K67" s="184">
        <v>-0.74064603530793904</v>
      </c>
      <c r="L67" s="184">
        <v>-0.67350170160453504</v>
      </c>
      <c r="M67" s="170">
        <v>1.3638243472885599E-3</v>
      </c>
      <c r="N67" s="170">
        <v>1.0116785798821601E-3</v>
      </c>
      <c r="O67" s="171">
        <v>60</v>
      </c>
      <c r="P67" s="172" t="s">
        <v>60</v>
      </c>
    </row>
    <row r="68" spans="1:16" ht="16.5" customHeight="1" x14ac:dyDescent="0.35">
      <c r="A68" s="188">
        <v>61</v>
      </c>
      <c r="B68" s="189" t="s">
        <v>92</v>
      </c>
      <c r="C68" t="s">
        <v>368</v>
      </c>
      <c r="D68" s="188" t="s">
        <v>93</v>
      </c>
      <c r="E68" s="190"/>
      <c r="F68" s="191">
        <v>176267</v>
      </c>
      <c r="G68" s="38">
        <v>3145.1371399999998</v>
      </c>
      <c r="H68" s="38">
        <v>3133.9468579999998</v>
      </c>
      <c r="I68" s="39">
        <v>0.99643394826745602</v>
      </c>
      <c r="J68" s="192">
        <v>-0.764644002360235</v>
      </c>
      <c r="K68" s="192">
        <v>-0.52779433146569499</v>
      </c>
      <c r="L68" s="192">
        <v>-0.58250250693844396</v>
      </c>
      <c r="M68" s="193">
        <v>1.2923939956674499E-3</v>
      </c>
      <c r="N68" s="193">
        <v>2.4657406344546699E-3</v>
      </c>
      <c r="O68" s="194">
        <v>61</v>
      </c>
      <c r="P68" s="195" t="s">
        <v>94</v>
      </c>
    </row>
    <row r="69" spans="1:16" ht="16.5" customHeight="1" x14ac:dyDescent="0.35">
      <c r="A69" s="188">
        <v>62</v>
      </c>
      <c r="B69" s="189" t="s">
        <v>95</v>
      </c>
      <c r="C69" t="s">
        <v>367</v>
      </c>
      <c r="D69" s="188" t="s">
        <v>93</v>
      </c>
      <c r="E69" s="190"/>
      <c r="F69" s="191">
        <v>32899</v>
      </c>
      <c r="G69" s="38">
        <v>2987.449149</v>
      </c>
      <c r="H69" s="38">
        <v>758.74028499999997</v>
      </c>
      <c r="I69" s="196">
        <v>0.25337683485441398</v>
      </c>
      <c r="J69" s="197">
        <v>2.4518666107382598</v>
      </c>
      <c r="K69" s="39">
        <v>2.48426933413817E-2</v>
      </c>
      <c r="L69" s="198">
        <v>-0.45732740333656102</v>
      </c>
      <c r="M69" s="193">
        <v>1.2275971350900899E-3</v>
      </c>
      <c r="N69" s="193">
        <v>5.9696505285228405E-4</v>
      </c>
      <c r="O69" s="194">
        <v>62</v>
      </c>
      <c r="P69" s="195" t="s">
        <v>94</v>
      </c>
    </row>
    <row r="70" spans="1:16" ht="16.5" customHeight="1" x14ac:dyDescent="0.35">
      <c r="A70" s="188">
        <v>63</v>
      </c>
      <c r="B70" s="189" t="s">
        <v>96</v>
      </c>
      <c r="C70" t="s">
        <v>370</v>
      </c>
      <c r="D70" s="188" t="s">
        <v>93</v>
      </c>
      <c r="E70" s="190"/>
      <c r="F70" s="191">
        <v>8680001</v>
      </c>
      <c r="G70" s="38">
        <v>2904.2764099999999</v>
      </c>
      <c r="H70" s="38">
        <v>2904.2764099999999</v>
      </c>
      <c r="I70" s="39">
        <v>1</v>
      </c>
      <c r="J70" s="199" t="s">
        <v>32</v>
      </c>
      <c r="K70" s="199" t="s">
        <v>32</v>
      </c>
      <c r="L70" s="199" t="s">
        <v>32</v>
      </c>
      <c r="M70" s="193">
        <v>1.19341994544716E-3</v>
      </c>
      <c r="N70" s="193">
        <v>2.28503949884945E-3</v>
      </c>
      <c r="O70" s="194">
        <v>63</v>
      </c>
      <c r="P70" s="195" t="s">
        <v>94</v>
      </c>
    </row>
    <row r="71" spans="1:16" ht="16.5" customHeight="1" x14ac:dyDescent="0.35">
      <c r="A71" s="188">
        <v>64</v>
      </c>
      <c r="B71" s="189" t="s">
        <v>97</v>
      </c>
      <c r="C71" t="s">
        <v>370</v>
      </c>
      <c r="D71" s="188" t="s">
        <v>93</v>
      </c>
      <c r="E71" s="190"/>
      <c r="F71" s="191">
        <v>202737</v>
      </c>
      <c r="G71" s="38">
        <v>2204.3765699999899</v>
      </c>
      <c r="H71" s="38">
        <v>360.939743000004</v>
      </c>
      <c r="I71" s="198">
        <v>0.16372894794695</v>
      </c>
      <c r="J71" s="198">
        <v>-0.26486500206684999</v>
      </c>
      <c r="K71" s="198">
        <v>-0.18138860710573601</v>
      </c>
      <c r="L71" s="192">
        <v>-0.50627489233672296</v>
      </c>
      <c r="M71" s="193">
        <v>9.05818384522973E-4</v>
      </c>
      <c r="N71" s="193">
        <v>2.8398177481308602E-4</v>
      </c>
      <c r="O71" s="194">
        <v>64</v>
      </c>
      <c r="P71" s="195" t="s">
        <v>94</v>
      </c>
    </row>
    <row r="72" spans="1:16" ht="16.5" customHeight="1" x14ac:dyDescent="0.35">
      <c r="A72" s="188">
        <v>65</v>
      </c>
      <c r="B72" s="189" t="s">
        <v>98</v>
      </c>
      <c r="C72" t="s">
        <v>367</v>
      </c>
      <c r="D72" s="188" t="s">
        <v>93</v>
      </c>
      <c r="E72" s="190"/>
      <c r="F72" s="191">
        <v>57961</v>
      </c>
      <c r="G72" s="38">
        <v>1784.617135</v>
      </c>
      <c r="H72" s="38">
        <v>1458.3446289999999</v>
      </c>
      <c r="I72" s="39">
        <v>0.81734034517215304</v>
      </c>
      <c r="J72" s="199" t="s">
        <v>32</v>
      </c>
      <c r="K72" s="199" t="s">
        <v>32</v>
      </c>
      <c r="L72" s="199" t="s">
        <v>32</v>
      </c>
      <c r="M72" s="193">
        <v>7.3333160595955905E-4</v>
      </c>
      <c r="N72" s="193">
        <v>1.1474028672773401E-3</v>
      </c>
      <c r="O72" s="194">
        <v>65</v>
      </c>
      <c r="P72" s="195" t="s">
        <v>94</v>
      </c>
    </row>
    <row r="73" spans="1:16" ht="16.5" customHeight="1" x14ac:dyDescent="0.35">
      <c r="A73" s="188">
        <v>66</v>
      </c>
      <c r="B73" s="189" t="s">
        <v>99</v>
      </c>
      <c r="C73" t="s">
        <v>370</v>
      </c>
      <c r="D73" s="188" t="s">
        <v>93</v>
      </c>
      <c r="E73" s="190"/>
      <c r="F73" s="191">
        <v>138028</v>
      </c>
      <c r="G73" s="38">
        <v>1500.9300880000001</v>
      </c>
      <c r="H73" s="38">
        <v>255.299416000001</v>
      </c>
      <c r="I73" s="198">
        <v>0.17007907849932299</v>
      </c>
      <c r="J73" s="198">
        <v>-0.37625739979212802</v>
      </c>
      <c r="K73" s="198">
        <v>-0.30531236604279399</v>
      </c>
      <c r="L73" s="192">
        <v>-0.55256007579555</v>
      </c>
      <c r="M73" s="193">
        <v>6.1675944396110598E-4</v>
      </c>
      <c r="N73" s="193">
        <v>2.00865608929145E-4</v>
      </c>
      <c r="O73" s="194">
        <v>66</v>
      </c>
      <c r="P73" s="195" t="s">
        <v>94</v>
      </c>
    </row>
    <row r="74" spans="1:16" ht="16.5" customHeight="1" x14ac:dyDescent="0.35">
      <c r="A74" s="188">
        <v>67</v>
      </c>
      <c r="B74" s="189" t="s">
        <v>100</v>
      </c>
      <c r="C74" t="s">
        <v>368</v>
      </c>
      <c r="D74" s="188" t="s">
        <v>93</v>
      </c>
      <c r="E74" s="190"/>
      <c r="F74" s="191">
        <v>19278</v>
      </c>
      <c r="G74" s="38">
        <v>1315.5629060000001</v>
      </c>
      <c r="H74" s="38">
        <v>171.307917</v>
      </c>
      <c r="I74" s="198">
        <v>0.130009044258348</v>
      </c>
      <c r="J74" s="198">
        <v>-0.39266702365577899</v>
      </c>
      <c r="K74" s="198">
        <v>-0.34053432137462097</v>
      </c>
      <c r="L74" s="198">
        <v>-0.352682546412245</v>
      </c>
      <c r="M74" s="193">
        <v>5.4058870089118802E-4</v>
      </c>
      <c r="N74" s="193">
        <v>1.347824041344E-4</v>
      </c>
      <c r="O74" s="194">
        <v>67</v>
      </c>
      <c r="P74" s="195" t="s">
        <v>94</v>
      </c>
    </row>
    <row r="75" spans="1:16" ht="16.5" customHeight="1" x14ac:dyDescent="0.35">
      <c r="A75" s="188">
        <v>68</v>
      </c>
      <c r="B75" s="189" t="s">
        <v>101</v>
      </c>
      <c r="C75" t="s">
        <v>371</v>
      </c>
      <c r="D75" s="188" t="s">
        <v>93</v>
      </c>
      <c r="E75" s="190"/>
      <c r="F75" s="191">
        <v>4</v>
      </c>
      <c r="G75" s="38">
        <v>1253.900474</v>
      </c>
      <c r="H75" s="38">
        <v>1253.900474</v>
      </c>
      <c r="I75" s="39">
        <v>1</v>
      </c>
      <c r="J75" s="199" t="s">
        <v>32</v>
      </c>
      <c r="K75" s="199" t="s">
        <v>32</v>
      </c>
      <c r="L75" s="199" t="s">
        <v>32</v>
      </c>
      <c r="M75" s="193">
        <v>5.1525048722110003E-4</v>
      </c>
      <c r="N75" s="193">
        <v>9.8654938657028596E-4</v>
      </c>
      <c r="O75" s="194">
        <v>68</v>
      </c>
      <c r="P75" s="195" t="s">
        <v>94</v>
      </c>
    </row>
    <row r="76" spans="1:16" ht="16.5" customHeight="1" x14ac:dyDescent="0.35">
      <c r="A76" s="188">
        <v>69</v>
      </c>
      <c r="B76" s="189" t="s">
        <v>102</v>
      </c>
      <c r="C76" t="s">
        <v>370</v>
      </c>
      <c r="D76" s="188" t="s">
        <v>93</v>
      </c>
      <c r="E76" s="190"/>
      <c r="F76" s="191">
        <v>113925</v>
      </c>
      <c r="G76" s="38">
        <v>1237.2088630000001</v>
      </c>
      <c r="H76" s="38">
        <v>162.79944400000099</v>
      </c>
      <c r="I76" s="198">
        <v>0.13157319962990999</v>
      </c>
      <c r="J76" s="198">
        <v>-0.38514968508654102</v>
      </c>
      <c r="K76" s="198">
        <v>-0.31590221403560698</v>
      </c>
      <c r="L76" s="192">
        <v>-0.65134088980006399</v>
      </c>
      <c r="M76" s="193">
        <v>5.0839160098683405E-4</v>
      </c>
      <c r="N76" s="193">
        <v>1.28088069940537E-4</v>
      </c>
      <c r="O76" s="194">
        <v>69</v>
      </c>
      <c r="P76" s="195" t="s">
        <v>94</v>
      </c>
    </row>
    <row r="77" spans="1:16" ht="16.5" customHeight="1" x14ac:dyDescent="0.35">
      <c r="A77" s="188">
        <v>71</v>
      </c>
      <c r="B77" s="189" t="s">
        <v>103</v>
      </c>
      <c r="C77" t="s">
        <v>367</v>
      </c>
      <c r="D77" s="188" t="s">
        <v>93</v>
      </c>
      <c r="E77" s="190"/>
      <c r="F77" s="191">
        <v>15210</v>
      </c>
      <c r="G77" s="38">
        <v>1191.340252</v>
      </c>
      <c r="H77" s="38">
        <v>448.23437699999897</v>
      </c>
      <c r="I77" s="196">
        <v>0.37551081333094399</v>
      </c>
      <c r="J77" s="199" t="s">
        <v>32</v>
      </c>
      <c r="K77" s="197">
        <v>1.33575062527556</v>
      </c>
      <c r="L77" s="39">
        <v>0.38016800677157703</v>
      </c>
      <c r="M77" s="193">
        <v>4.8954335532782299E-4</v>
      </c>
      <c r="N77" s="193">
        <v>3.52663834840423E-4</v>
      </c>
      <c r="O77" s="194">
        <v>71</v>
      </c>
      <c r="P77" s="195" t="s">
        <v>94</v>
      </c>
    </row>
    <row r="78" spans="1:16" ht="16.5" customHeight="1" x14ac:dyDescent="0.35">
      <c r="A78" s="188">
        <v>72</v>
      </c>
      <c r="B78" s="189" t="s">
        <v>104</v>
      </c>
      <c r="C78" t="s">
        <v>370</v>
      </c>
      <c r="D78" s="188" t="s">
        <v>93</v>
      </c>
      <c r="E78" s="190"/>
      <c r="F78" s="191">
        <v>96848</v>
      </c>
      <c r="G78" s="38">
        <v>1051.10123</v>
      </c>
      <c r="H78" s="38">
        <v>152.38930199999999</v>
      </c>
      <c r="I78" s="198">
        <v>0.14501349724648099</v>
      </c>
      <c r="J78" s="198">
        <v>-0.213225557496243</v>
      </c>
      <c r="K78" s="198">
        <v>-0.12511209368531201</v>
      </c>
      <c r="L78" s="192">
        <v>-0.52101873793400899</v>
      </c>
      <c r="M78" s="193">
        <v>4.3191659314756499E-4</v>
      </c>
      <c r="N78" s="193">
        <v>1.19897532160893E-4</v>
      </c>
      <c r="O78" s="194">
        <v>72</v>
      </c>
      <c r="P78" s="195" t="s">
        <v>94</v>
      </c>
    </row>
    <row r="79" spans="1:16" ht="16.5" customHeight="1" x14ac:dyDescent="0.35">
      <c r="A79" s="188">
        <v>73</v>
      </c>
      <c r="B79" s="189" t="s">
        <v>105</v>
      </c>
      <c r="C79" t="s">
        <v>367</v>
      </c>
      <c r="D79" s="188" t="s">
        <v>93</v>
      </c>
      <c r="E79" s="190"/>
      <c r="F79" s="191">
        <v>75931</v>
      </c>
      <c r="G79" s="38">
        <v>784.82349199999203</v>
      </c>
      <c r="H79" s="38">
        <v>103.71441499999899</v>
      </c>
      <c r="I79" s="198">
        <v>0.132134252288197</v>
      </c>
      <c r="J79" s="198">
        <v>-0.106389238681433</v>
      </c>
      <c r="K79" s="198">
        <v>-0.120681392992199</v>
      </c>
      <c r="L79" s="198">
        <v>-0.44189905246233002</v>
      </c>
      <c r="M79" s="193">
        <v>3.2249823253161999E-4</v>
      </c>
      <c r="N79" s="193">
        <v>8.1600888282896598E-5</v>
      </c>
      <c r="O79" s="194">
        <v>73</v>
      </c>
      <c r="P79" s="195" t="s">
        <v>94</v>
      </c>
    </row>
    <row r="80" spans="1:16" ht="16.5" customHeight="1" x14ac:dyDescent="0.35">
      <c r="A80" s="188">
        <v>74</v>
      </c>
      <c r="B80" s="189" t="s">
        <v>106</v>
      </c>
      <c r="C80" t="s">
        <v>370</v>
      </c>
      <c r="D80" s="188" t="s">
        <v>93</v>
      </c>
      <c r="E80" s="190"/>
      <c r="F80" s="191">
        <v>1</v>
      </c>
      <c r="G80" s="38">
        <v>769.26226799999995</v>
      </c>
      <c r="H80" s="38">
        <v>769.26226799999995</v>
      </c>
      <c r="I80" s="39">
        <v>1</v>
      </c>
      <c r="J80" s="192">
        <v>-0.75</v>
      </c>
      <c r="K80" s="192">
        <v>-0.70277172386143705</v>
      </c>
      <c r="L80" s="192">
        <v>-0.70277172386143705</v>
      </c>
      <c r="M80" s="193">
        <v>3.1610384285396499E-4</v>
      </c>
      <c r="N80" s="193">
        <v>6.0524358539086696E-4</v>
      </c>
      <c r="O80" s="194">
        <v>74</v>
      </c>
      <c r="P80" s="195" t="s">
        <v>94</v>
      </c>
    </row>
    <row r="81" spans="1:16" ht="16.5" customHeight="1" x14ac:dyDescent="0.35">
      <c r="A81" s="188">
        <v>75</v>
      </c>
      <c r="B81" s="189" t="s">
        <v>107</v>
      </c>
      <c r="C81" t="s">
        <v>369</v>
      </c>
      <c r="D81" s="188" t="s">
        <v>93</v>
      </c>
      <c r="E81" s="190"/>
      <c r="F81" s="191">
        <v>150803</v>
      </c>
      <c r="G81" s="38">
        <v>634.45480600000803</v>
      </c>
      <c r="H81" s="38">
        <v>360.23962000000199</v>
      </c>
      <c r="I81" s="196">
        <v>0.56745601038666904</v>
      </c>
      <c r="J81" s="39">
        <v>3.6944847455529402E-2</v>
      </c>
      <c r="K81" s="192">
        <v>-0.751500528964128</v>
      </c>
      <c r="L81" s="198">
        <v>-0.45647693174784498</v>
      </c>
      <c r="M81" s="193">
        <v>2.6070900736518298E-4</v>
      </c>
      <c r="N81" s="193">
        <v>2.8343092892818799E-4</v>
      </c>
      <c r="O81" s="194">
        <v>75</v>
      </c>
      <c r="P81" s="195" t="s">
        <v>94</v>
      </c>
    </row>
    <row r="82" spans="1:16" ht="16.5" customHeight="1" x14ac:dyDescent="0.35">
      <c r="A82" s="188">
        <v>76</v>
      </c>
      <c r="B82" s="189" t="s">
        <v>108</v>
      </c>
      <c r="C82" t="s">
        <v>370</v>
      </c>
      <c r="D82" s="188" t="s">
        <v>93</v>
      </c>
      <c r="E82" s="190"/>
      <c r="F82" s="191">
        <v>3279</v>
      </c>
      <c r="G82" s="38">
        <v>567.74072899999896</v>
      </c>
      <c r="H82" s="38">
        <v>429.72187300000002</v>
      </c>
      <c r="I82" s="39">
        <v>0.756204085929433</v>
      </c>
      <c r="J82" s="197">
        <v>1.4837735849056599</v>
      </c>
      <c r="K82" s="197">
        <v>0.97332232206515001</v>
      </c>
      <c r="L82" s="197">
        <v>1.0815492279669201</v>
      </c>
      <c r="M82" s="193">
        <v>2.3329498097989599E-4</v>
      </c>
      <c r="N82" s="193">
        <v>3.3809848468402799E-4</v>
      </c>
      <c r="O82" s="194">
        <v>76</v>
      </c>
      <c r="P82" s="195" t="s">
        <v>94</v>
      </c>
    </row>
    <row r="83" spans="1:16" ht="16.5" customHeight="1" x14ac:dyDescent="0.35">
      <c r="A83" s="188">
        <v>77</v>
      </c>
      <c r="B83" s="189" t="s">
        <v>109</v>
      </c>
      <c r="C83" t="s">
        <v>370</v>
      </c>
      <c r="D83" s="188" t="s">
        <v>93</v>
      </c>
      <c r="E83" s="190"/>
      <c r="F83" s="191">
        <v>51971</v>
      </c>
      <c r="G83" s="38">
        <v>565.584024</v>
      </c>
      <c r="H83" s="38">
        <v>94.162581999999801</v>
      </c>
      <c r="I83" s="198">
        <v>0.16649846119141101</v>
      </c>
      <c r="J83" s="198">
        <v>-0.20033543105968499</v>
      </c>
      <c r="K83" s="198">
        <v>-0.10839262952567599</v>
      </c>
      <c r="L83" s="198">
        <v>-0.37715230690976298</v>
      </c>
      <c r="M83" s="193">
        <v>2.3240875170964299E-4</v>
      </c>
      <c r="N83" s="193">
        <v>7.4085654672121994E-5</v>
      </c>
      <c r="O83" s="194">
        <v>77</v>
      </c>
      <c r="P83" s="195" t="s">
        <v>94</v>
      </c>
    </row>
    <row r="84" spans="1:16" ht="16.5" customHeight="1" x14ac:dyDescent="0.35">
      <c r="A84" s="188">
        <v>78</v>
      </c>
      <c r="B84" s="189" t="s">
        <v>110</v>
      </c>
      <c r="C84" t="s">
        <v>370</v>
      </c>
      <c r="D84" s="188" t="s">
        <v>93</v>
      </c>
      <c r="E84" s="190"/>
      <c r="F84" s="191">
        <v>49314</v>
      </c>
      <c r="G84" s="38">
        <v>456.39840900000002</v>
      </c>
      <c r="H84" s="38">
        <v>456.39840900000002</v>
      </c>
      <c r="I84" s="39">
        <v>1</v>
      </c>
      <c r="J84" s="39">
        <v>0.47912542738887898</v>
      </c>
      <c r="K84" s="39">
        <v>0.19533352472055901</v>
      </c>
      <c r="L84" s="39">
        <v>0.27979810312565601</v>
      </c>
      <c r="M84" s="193">
        <v>1.8754239868337799E-4</v>
      </c>
      <c r="N84" s="193">
        <v>3.5908716821380298E-4</v>
      </c>
      <c r="O84" s="194">
        <v>78</v>
      </c>
      <c r="P84" s="195" t="s">
        <v>94</v>
      </c>
    </row>
    <row r="85" spans="1:16" ht="16.5" customHeight="1" x14ac:dyDescent="0.35">
      <c r="A85" s="188">
        <v>80</v>
      </c>
      <c r="B85" s="189" t="s">
        <v>111</v>
      </c>
      <c r="C85" t="s">
        <v>372</v>
      </c>
      <c r="D85" s="188" t="s">
        <v>93</v>
      </c>
      <c r="E85" s="190"/>
      <c r="F85" s="191">
        <v>34490</v>
      </c>
      <c r="G85" s="38">
        <v>325.608588</v>
      </c>
      <c r="H85" s="38">
        <v>325.608588</v>
      </c>
      <c r="I85" s="39">
        <v>1</v>
      </c>
      <c r="J85" s="39">
        <v>7.7408471823066302E-2</v>
      </c>
      <c r="K85" s="39">
        <v>9.3771079878609997E-2</v>
      </c>
      <c r="L85" s="39">
        <v>9.3871161890924301E-2</v>
      </c>
      <c r="M85" s="193">
        <v>1.33798484879091E-4</v>
      </c>
      <c r="N85" s="193">
        <v>2.56183771690174E-4</v>
      </c>
      <c r="O85" s="194">
        <v>80</v>
      </c>
      <c r="P85" s="195" t="s">
        <v>94</v>
      </c>
    </row>
    <row r="86" spans="1:16" ht="16.5" customHeight="1" x14ac:dyDescent="0.35">
      <c r="A86" s="188">
        <v>81</v>
      </c>
      <c r="B86" s="189" t="s">
        <v>112</v>
      </c>
      <c r="C86" t="s">
        <v>372</v>
      </c>
      <c r="D86" s="188" t="s">
        <v>93</v>
      </c>
      <c r="E86" s="190"/>
      <c r="F86" s="191">
        <v>5529</v>
      </c>
      <c r="G86" s="38">
        <v>261.35574700000001</v>
      </c>
      <c r="H86" s="38">
        <v>176.42684499999999</v>
      </c>
      <c r="I86" s="196">
        <v>0.67505716578612096</v>
      </c>
      <c r="J86" s="39">
        <v>1.2637362637362599E-2</v>
      </c>
      <c r="K86" s="39">
        <v>3.0243016507295301E-2</v>
      </c>
      <c r="L86" s="39">
        <v>6.6607559562554805E-2</v>
      </c>
      <c r="M86" s="193">
        <v>1.0739582508506501E-4</v>
      </c>
      <c r="N86" s="193">
        <v>1.3880989705191001E-4</v>
      </c>
      <c r="O86" s="194">
        <v>81</v>
      </c>
      <c r="P86" s="195" t="s">
        <v>94</v>
      </c>
    </row>
    <row r="87" spans="1:16" ht="16.5" customHeight="1" x14ac:dyDescent="0.35">
      <c r="A87" s="188">
        <v>82</v>
      </c>
      <c r="B87" s="189" t="s">
        <v>113</v>
      </c>
      <c r="C87" t="s">
        <v>372</v>
      </c>
      <c r="D87" s="188" t="s">
        <v>93</v>
      </c>
      <c r="E87" s="190"/>
      <c r="F87" s="191">
        <v>23299</v>
      </c>
      <c r="G87" s="38">
        <v>241.38475399999999</v>
      </c>
      <c r="H87" s="38">
        <v>101.85606900000001</v>
      </c>
      <c r="I87" s="196">
        <v>0.42199116761951599</v>
      </c>
      <c r="J87" s="198">
        <v>-0.34326465033683801</v>
      </c>
      <c r="K87" s="198">
        <v>-0.33142025278675202</v>
      </c>
      <c r="L87" s="198">
        <v>-0.33462022156604299</v>
      </c>
      <c r="M87" s="193">
        <v>9.9189381203029295E-5</v>
      </c>
      <c r="N87" s="193">
        <v>8.0138770559560506E-5</v>
      </c>
      <c r="O87" s="194">
        <v>82</v>
      </c>
      <c r="P87" s="195" t="s">
        <v>94</v>
      </c>
    </row>
    <row r="88" spans="1:16" ht="16.5" customHeight="1" x14ac:dyDescent="0.35">
      <c r="A88" s="188">
        <v>83</v>
      </c>
      <c r="B88" s="189" t="s">
        <v>114</v>
      </c>
      <c r="C88" t="s">
        <v>372</v>
      </c>
      <c r="D88" s="188" t="s">
        <v>93</v>
      </c>
      <c r="E88" s="190"/>
      <c r="F88" s="191">
        <v>433</v>
      </c>
      <c r="G88" s="38">
        <v>202.499201</v>
      </c>
      <c r="H88" s="38">
        <v>189.54868300000001</v>
      </c>
      <c r="I88" s="39">
        <v>0.93599594479324799</v>
      </c>
      <c r="J88" s="192">
        <v>-0.97889028759562302</v>
      </c>
      <c r="K88" s="192">
        <v>-0.56270986494784403</v>
      </c>
      <c r="L88" s="192">
        <v>-0.68268048565058703</v>
      </c>
      <c r="M88" s="193">
        <v>8.3210600953272603E-5</v>
      </c>
      <c r="N88" s="193">
        <v>1.49133955059703E-4</v>
      </c>
      <c r="O88" s="194">
        <v>83</v>
      </c>
      <c r="P88" s="195" t="s">
        <v>94</v>
      </c>
    </row>
    <row r="89" spans="1:16" ht="16.5" customHeight="1" x14ac:dyDescent="0.35">
      <c r="A89" s="188">
        <v>84</v>
      </c>
      <c r="B89" s="189" t="s">
        <v>115</v>
      </c>
      <c r="C89" t="s">
        <v>372</v>
      </c>
      <c r="D89" s="188" t="s">
        <v>93</v>
      </c>
      <c r="E89" s="190"/>
      <c r="F89" s="191">
        <v>3</v>
      </c>
      <c r="G89" s="38">
        <v>164.117278</v>
      </c>
      <c r="H89" s="38">
        <v>164.117278</v>
      </c>
      <c r="I89" s="39">
        <v>1</v>
      </c>
      <c r="J89" s="198">
        <v>0</v>
      </c>
      <c r="K89" s="39">
        <v>1.15013967573225E-2</v>
      </c>
      <c r="L89" s="39">
        <v>1.1501396757322299E-2</v>
      </c>
      <c r="M89" s="193">
        <v>6.7438771421104499E-5</v>
      </c>
      <c r="N89" s="193">
        <v>1.2912492123077799E-4</v>
      </c>
      <c r="O89" s="194">
        <v>84</v>
      </c>
      <c r="P89" s="195" t="s">
        <v>94</v>
      </c>
    </row>
    <row r="90" spans="1:16" ht="16.5" customHeight="1" x14ac:dyDescent="0.35">
      <c r="A90" s="188">
        <v>85</v>
      </c>
      <c r="B90" s="189" t="s">
        <v>116</v>
      </c>
      <c r="C90" t="s">
        <v>372</v>
      </c>
      <c r="D90" s="188" t="s">
        <v>93</v>
      </c>
      <c r="E90" s="190"/>
      <c r="F90" s="191">
        <v>43546</v>
      </c>
      <c r="G90" s="38">
        <v>144.421537</v>
      </c>
      <c r="H90" s="38">
        <v>144.421537</v>
      </c>
      <c r="I90" s="39">
        <v>1</v>
      </c>
      <c r="J90" s="192">
        <v>-0.99898542661534095</v>
      </c>
      <c r="K90" s="192">
        <v>-0.99947316042207002</v>
      </c>
      <c r="L90" s="192">
        <v>-0.99841636412426504</v>
      </c>
      <c r="M90" s="193">
        <v>5.9345433586996197E-5</v>
      </c>
      <c r="N90" s="193">
        <v>1.13628618609875E-4</v>
      </c>
      <c r="O90" s="194">
        <v>85</v>
      </c>
      <c r="P90" s="195" t="s">
        <v>94</v>
      </c>
    </row>
    <row r="91" spans="1:16" ht="16.5" customHeight="1" x14ac:dyDescent="0.35">
      <c r="A91" s="188">
        <v>86</v>
      </c>
      <c r="B91" s="189" t="s">
        <v>117</v>
      </c>
      <c r="C91" t="s">
        <v>372</v>
      </c>
      <c r="D91" s="188" t="s">
        <v>93</v>
      </c>
      <c r="E91" s="190"/>
      <c r="F91" s="191">
        <v>3</v>
      </c>
      <c r="G91" s="38">
        <v>105.03505800000001</v>
      </c>
      <c r="H91" s="38">
        <v>105.03505800000001</v>
      </c>
      <c r="I91" s="39">
        <v>1</v>
      </c>
      <c r="J91" s="192">
        <v>-0.99998835301996503</v>
      </c>
      <c r="K91" s="198">
        <v>-0.20507223197786001</v>
      </c>
      <c r="L91" s="198">
        <v>-0.34521870904891899</v>
      </c>
      <c r="M91" s="193">
        <v>4.3160813742380398E-5</v>
      </c>
      <c r="N91" s="193">
        <v>8.2639949650640602E-5</v>
      </c>
      <c r="O91" s="194">
        <v>86</v>
      </c>
      <c r="P91" s="195" t="s">
        <v>94</v>
      </c>
    </row>
    <row r="92" spans="1:16" ht="16.5" customHeight="1" x14ac:dyDescent="0.35">
      <c r="A92" s="188">
        <v>87</v>
      </c>
      <c r="B92" s="189" t="s">
        <v>118</v>
      </c>
      <c r="C92" t="s">
        <v>370</v>
      </c>
      <c r="D92" s="188" t="s">
        <v>93</v>
      </c>
      <c r="E92" s="190"/>
      <c r="F92" s="191">
        <v>95</v>
      </c>
      <c r="G92" s="38">
        <v>42.556946000000003</v>
      </c>
      <c r="H92" s="38">
        <v>42.556946000000003</v>
      </c>
      <c r="I92" s="39">
        <v>1</v>
      </c>
      <c r="J92" s="198">
        <v>-0.126126126126126</v>
      </c>
      <c r="K92" s="198">
        <v>-0.334224938277487</v>
      </c>
      <c r="L92" s="198">
        <v>-0.33307186077151801</v>
      </c>
      <c r="M92" s="193">
        <v>1.7487422339982299E-5</v>
      </c>
      <c r="N92" s="193">
        <v>3.3483143073287299E-5</v>
      </c>
      <c r="O92" s="194">
        <v>87</v>
      </c>
      <c r="P92" s="195" t="s">
        <v>94</v>
      </c>
    </row>
    <row r="93" spans="1:16" ht="16.5" customHeight="1" x14ac:dyDescent="0.35">
      <c r="A93" s="188">
        <v>88</v>
      </c>
      <c r="B93" s="189" t="s">
        <v>119</v>
      </c>
      <c r="C93" t="s">
        <v>372</v>
      </c>
      <c r="D93" s="188" t="s">
        <v>93</v>
      </c>
      <c r="E93" s="190"/>
      <c r="F93" s="191">
        <v>93779</v>
      </c>
      <c r="G93" s="38">
        <v>31.111749</v>
      </c>
      <c r="H93" s="38">
        <v>31.111749</v>
      </c>
      <c r="I93" s="39">
        <v>1</v>
      </c>
      <c r="J93" s="198">
        <v>-4.0010644940070998E-2</v>
      </c>
      <c r="K93" s="198">
        <v>-2.4767233421262299E-2</v>
      </c>
      <c r="L93" s="198">
        <v>-2.47563179840397E-2</v>
      </c>
      <c r="M93" s="193">
        <v>1.2784382941823999E-5</v>
      </c>
      <c r="N93" s="193">
        <v>2.4478240121535101E-5</v>
      </c>
      <c r="O93" s="194">
        <v>88</v>
      </c>
      <c r="P93" s="195" t="s">
        <v>94</v>
      </c>
    </row>
    <row r="94" spans="1:16" ht="16.5" customHeight="1" x14ac:dyDescent="0.35">
      <c r="A94" s="188">
        <v>89</v>
      </c>
      <c r="B94" s="189" t="s">
        <v>120</v>
      </c>
      <c r="C94" t="s">
        <v>370</v>
      </c>
      <c r="D94" s="188" t="s">
        <v>93</v>
      </c>
      <c r="E94" s="190"/>
      <c r="F94" s="191">
        <v>2829</v>
      </c>
      <c r="G94" s="38">
        <v>20.053491999999999</v>
      </c>
      <c r="H94" s="38">
        <v>2.670776</v>
      </c>
      <c r="I94" s="198">
        <v>0.13431570209527499</v>
      </c>
      <c r="J94" s="192">
        <v>-0.99479949851650595</v>
      </c>
      <c r="K94" s="192">
        <v>-0.99561576791274398</v>
      </c>
      <c r="L94" s="192">
        <v>-0.99768586455235697</v>
      </c>
      <c r="M94" s="193">
        <v>8.2403442200823498E-6</v>
      </c>
      <c r="N94" s="193">
        <v>2.1013250087236501E-6</v>
      </c>
      <c r="O94" s="194">
        <v>89</v>
      </c>
      <c r="P94" s="195" t="s">
        <v>94</v>
      </c>
    </row>
    <row r="95" spans="1:16" ht="16.5" customHeight="1" x14ac:dyDescent="0.35">
      <c r="A95" s="188">
        <v>90</v>
      </c>
      <c r="B95" s="189" t="s">
        <v>121</v>
      </c>
      <c r="C95" t="s">
        <v>372</v>
      </c>
      <c r="D95" s="188" t="s">
        <v>93</v>
      </c>
      <c r="E95" s="190"/>
      <c r="F95" s="191">
        <v>58</v>
      </c>
      <c r="G95" s="38">
        <v>1.2020770000000001</v>
      </c>
      <c r="H95" s="38">
        <v>0.17608499999999999</v>
      </c>
      <c r="I95" s="198">
        <v>0.14741569646813801</v>
      </c>
      <c r="J95" s="39">
        <v>0.115384615384615</v>
      </c>
      <c r="K95" s="198">
        <v>-0.13878377119767299</v>
      </c>
      <c r="L95" s="192">
        <v>-0.62880241161962203</v>
      </c>
      <c r="M95" s="193">
        <v>4.93955280159881E-7</v>
      </c>
      <c r="N95" s="193">
        <v>1.3854093872384099E-7</v>
      </c>
      <c r="O95" s="194">
        <v>90</v>
      </c>
      <c r="P95" s="195" t="s">
        <v>94</v>
      </c>
    </row>
    <row r="96" spans="1:16" ht="16.5" customHeight="1" x14ac:dyDescent="0.35">
      <c r="A96" s="188">
        <v>91</v>
      </c>
      <c r="B96" s="189" t="s">
        <v>122</v>
      </c>
      <c r="C96" t="s">
        <v>372</v>
      </c>
      <c r="D96" s="188" t="s">
        <v>93</v>
      </c>
      <c r="E96" s="190"/>
      <c r="F96" s="191">
        <v>97</v>
      </c>
      <c r="G96" s="38">
        <v>0.92370099999999999</v>
      </c>
      <c r="H96" s="38">
        <v>0.25969500000000001</v>
      </c>
      <c r="I96" s="196">
        <v>0.28114182581258401</v>
      </c>
      <c r="J96" s="192">
        <v>-0.96520803443328596</v>
      </c>
      <c r="K96" s="192">
        <v>-0.97239007753606299</v>
      </c>
      <c r="L96" s="192">
        <v>-0.96809757391935702</v>
      </c>
      <c r="M96" s="193">
        <v>3.7956552387156801E-7</v>
      </c>
      <c r="N96" s="193">
        <v>2.04323986040196E-7</v>
      </c>
      <c r="O96" s="194">
        <v>91</v>
      </c>
      <c r="P96" s="195" t="s">
        <v>94</v>
      </c>
    </row>
    <row r="97" spans="1:16" ht="21.75" customHeight="1" x14ac:dyDescent="0.35">
      <c r="A97" s="210" t="s">
        <v>123</v>
      </c>
      <c r="B97" s="207"/>
      <c r="C97" s="92"/>
      <c r="D97" s="92"/>
      <c r="E97" s="92"/>
      <c r="F97" s="200">
        <v>248181447</v>
      </c>
      <c r="G97" s="90">
        <v>2433574.5527629899</v>
      </c>
      <c r="H97" s="90">
        <v>1270996.15191</v>
      </c>
      <c r="I97" s="91">
        <v>0.52227541189028004</v>
      </c>
      <c r="J97" s="92"/>
      <c r="K97" s="92"/>
      <c r="L97" s="92"/>
      <c r="M97" s="91">
        <v>1</v>
      </c>
      <c r="N97" s="91">
        <v>1</v>
      </c>
      <c r="O97" s="92"/>
      <c r="P97" s="92"/>
    </row>
    <row r="99" spans="1:16" ht="15" customHeight="1" x14ac:dyDescent="0.35">
      <c r="A99" s="209" t="s">
        <v>124</v>
      </c>
      <c r="B99" s="207"/>
      <c r="C99" s="206"/>
      <c r="D99" s="207"/>
      <c r="E99" s="207"/>
      <c r="F99" s="201"/>
    </row>
    <row r="100" spans="1:16" x14ac:dyDescent="0.35">
      <c r="A100" s="139" t="s">
        <v>26</v>
      </c>
      <c r="B100" s="205" t="s">
        <v>125</v>
      </c>
      <c r="C100" s="206"/>
      <c r="D100" s="207"/>
      <c r="E100" s="207"/>
      <c r="F100" s="201"/>
    </row>
    <row r="101" spans="1:16" x14ac:dyDescent="0.35">
      <c r="A101" s="139" t="s">
        <v>59</v>
      </c>
      <c r="B101" s="205" t="s">
        <v>126</v>
      </c>
      <c r="C101" s="206"/>
      <c r="D101" s="207"/>
      <c r="E101" s="207"/>
      <c r="F101" s="201"/>
    </row>
    <row r="102" spans="1:16" x14ac:dyDescent="0.35">
      <c r="A102" s="139" t="s">
        <v>93</v>
      </c>
      <c r="B102" s="205" t="s">
        <v>127</v>
      </c>
      <c r="C102" s="206"/>
      <c r="D102" s="207"/>
      <c r="E102" s="207"/>
      <c r="F102" s="201"/>
    </row>
    <row r="103" spans="1:16" x14ac:dyDescent="0.35">
      <c r="A103" s="139" t="s">
        <v>128</v>
      </c>
      <c r="B103" s="205" t="s">
        <v>129</v>
      </c>
      <c r="C103" s="206"/>
      <c r="D103" s="207"/>
      <c r="E103" s="207"/>
      <c r="F103" s="201"/>
    </row>
    <row r="104" spans="1:16" x14ac:dyDescent="0.35">
      <c r="A104" s="139" t="s">
        <v>130</v>
      </c>
      <c r="B104" s="205" t="s">
        <v>131</v>
      </c>
      <c r="C104" s="206"/>
      <c r="D104" s="207"/>
      <c r="E104" s="207"/>
      <c r="F104" s="201"/>
    </row>
    <row r="105" spans="1:16" x14ac:dyDescent="0.35">
      <c r="A105" s="139" t="s">
        <v>32</v>
      </c>
      <c r="B105" s="205" t="s">
        <v>132</v>
      </c>
      <c r="C105" s="206"/>
      <c r="D105" s="207"/>
      <c r="E105" s="207"/>
      <c r="F105" s="201"/>
    </row>
  </sheetData>
  <mergeCells count="14">
    <mergeCell ref="A1:O1"/>
    <mergeCell ref="D3:F3"/>
    <mergeCell ref="B102:E102"/>
    <mergeCell ref="A3:C3"/>
    <mergeCell ref="B101:E101"/>
    <mergeCell ref="G3:I3"/>
    <mergeCell ref="J3:L3"/>
    <mergeCell ref="B105:E105"/>
    <mergeCell ref="B100:E100"/>
    <mergeCell ref="A2:O2"/>
    <mergeCell ref="A99:E99"/>
    <mergeCell ref="B104:E104"/>
    <mergeCell ref="B103:E103"/>
    <mergeCell ref="A97:B97"/>
  </mergeCells>
  <conditionalFormatting sqref="F8:F96">
    <cfRule type="dataBar" priority="4">
      <dataBar>
        <cfvo type="min"/>
        <cfvo type="max"/>
        <color rgb="FF00A3E0"/>
      </dataBar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55da49cf-0d13-4dcf-95b6-146aa1488629}" enabled="1" method="Privileged" siteId="{f7ef0a86-3179-47cc-8497-f3b5dd0d29f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Dashboard</vt:lpstr>
      <vt:lpstr>📋 Carteira</vt:lpstr>
      <vt:lpstr>🎯 Plano de Ação</vt:lpstr>
      <vt:lpstr>📈 Gráficos</vt:lpstr>
      <vt:lpstr>📅 Tracker Mensal</vt:lpstr>
      <vt:lpstr>🗄️ Base de 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Raul Lopes</cp:lastModifiedBy>
  <cp:revision>2</cp:revision>
  <dcterms:created xsi:type="dcterms:W3CDTF">2026-03-05T14:05:37Z</dcterms:created>
  <dcterms:modified xsi:type="dcterms:W3CDTF">2026-03-09T19:13:54Z</dcterms:modified>
  <dc:language>en-US</dc:language>
</cp:coreProperties>
</file>